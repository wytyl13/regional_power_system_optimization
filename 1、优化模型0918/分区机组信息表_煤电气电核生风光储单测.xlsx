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name="分区表" sheetId="1" state="visible" r:id="rId1"/>
    <sheet name="煤电" sheetId="2" state="visible" r:id="rId2"/>
    <sheet name="气电" sheetId="3" state="visible" r:id="rId3"/>
    <sheet name="抽水蓄能" sheetId="4" state="visible" r:id="rId4"/>
    <sheet name="核电" sheetId="5" state="visible" r:id="rId5"/>
    <sheet name="生物质" sheetId="6" state="visible" r:id="rId6"/>
    <sheet name="其他规划" sheetId="7" state="visible" r:id="rId7"/>
    <sheet name="风电" sheetId="8" state="visible" r:id="rId8"/>
    <sheet name="光伏" sheetId="9" state="visible" r:id="rId9"/>
    <sheet name="电化学储能" sheetId="10" state="visible" r:id="rId10"/>
    <sheet name="径流式水电" sheetId="11" state="visible" r:id="rId11"/>
    <sheet name="库容式水电" sheetId="12" state="visible" r:id="rId12"/>
    <sheet name="光热" sheetId="13" state="visible" r:id="rId13"/>
    <sheet name="新能源友好电站" sheetId="14" state="visible" r:id="rId14"/>
    <sheet name="检修计划" sheetId="15" state="visible" r:id="rId15"/>
    <sheet name="年度检修日历" sheetId="16" state="visible" r:id="rId16"/>
    <sheet name="字段说明" sheetId="17" state="visible" r:id="rId17"/>
    <sheet name="使用说明" sheetId="18" state="visible" r:id="rId18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yyyy\-mm\-dd\ hh:mm"/>
    <numFmt numFmtId="165" formatCode="yyyy-mm-dd h:mm:ss"/>
  </numFmts>
  <fonts count="24">
    <font>
      <name val="Carlito"/>
      <charset val="134"/>
      <sz val="11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5" borderId="4" applyAlignment="1">
      <alignment vertical="center"/>
    </xf>
    <xf numFmtId="0" fontId="13" fillId="6" borderId="5" applyAlignment="1">
      <alignment vertical="center"/>
    </xf>
    <xf numFmtId="0" fontId="14" fillId="6" borderId="4" applyAlignment="1">
      <alignment vertical="center"/>
    </xf>
    <xf numFmtId="0" fontId="15" fillId="7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 wrapText="1"/>
    </xf>
    <xf numFmtId="0" fontId="1" fillId="2" borderId="0" applyAlignment="1" pivotButton="0" quotePrefix="0" xfId="49">
      <alignment wrapText="1"/>
    </xf>
    <xf numFmtId="164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  <xf numFmtId="49" fontId="2" fillId="0" borderId="0" applyAlignment="1" pivotButton="0" quotePrefix="0" xfId="49">
      <alignment vertical="center"/>
    </xf>
    <xf numFmtId="49" fontId="2" fillId="3" borderId="0" applyAlignment="1" pivotButton="0" quotePrefix="0" xfId="49">
      <alignment vertical="center"/>
    </xf>
    <xf numFmtId="0" fontId="2" fillId="3" borderId="0" applyAlignment="1" pivotButton="0" quotePrefix="0" xfId="49">
      <alignment vertical="center"/>
    </xf>
    <xf numFmtId="164" fontId="2" fillId="0" borderId="0" applyAlignment="1" pivotButton="0" quotePrefix="0" xfId="49">
      <alignment vertical="center"/>
    </xf>
    <xf numFmtId="165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model-doc</author>
  </authors>
  <commentList>
    <comment ref="A1" authorId="0" shapeId="0">
      <text>
        <t>分区编号</t>
      </text>
    </comment>
    <comment ref="B1" authorId="0" shapeId="0">
      <text>
        <t>分区名称</t>
      </text>
    </comment>
    <comment ref="C1" authorId="0" shapeId="0">
      <text>
        <t>省份编号</t>
      </text>
    </comment>
  </commentList>
</comments>
</file>

<file path=xl/comments/comment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初始状态已持续时长（h）</t>
      </text>
    </comment>
    <comment ref="Y1" authorId="0" shapeId="0">
      <text>
        <t>启动允许功率变化（MW/时段）</t>
      </text>
    </comment>
    <comment ref="Z1" authorId="0" shapeId="0">
      <text>
        <t>停机允许功率变化（MW/时段）</t>
      </text>
    </comment>
    <comment ref="AA1" authorId="0" shapeId="0">
      <text>
        <t>SO2排放因子（t/MWh）</t>
      </text>
    </comment>
    <comment ref="AB1" authorId="0" shapeId="0">
      <text>
        <t>NOx排放因子（t/MWh）</t>
      </text>
    </comment>
    <comment ref="AC1" authorId="0" shapeId="0">
      <text>
        <t>烟尘排放因子（t/MWh）</t>
      </text>
    </comment>
    <comment ref="AD1" authorId="0" shapeId="0">
      <text>
        <t>数据状态（文本）</t>
      </text>
    </comment>
  </commentList>
</comments>
</file>

<file path=xl/comments/comment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周期前运行状态（0/1）</t>
      </text>
    </comment>
    <comment ref="V1" authorId="0" shapeId="0">
      <text>
        <t>周期前功率（MW）</t>
      </text>
    </comment>
    <comment ref="W1" authorId="0" shapeId="0">
      <text>
        <t>本周期固定运维系数（万元/MW·基准期）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CO2排放因子（t/MWh）</t>
      </text>
    </comment>
    <comment ref="AA1" authorId="0" shapeId="0">
      <text>
        <t>单位发电成本（原货币单位/MWh）</t>
      </text>
    </comment>
    <comment ref="AB1" authorId="0" shapeId="0">
      <text>
        <t>数据状态（文本）</t>
      </text>
    </comment>
    <comment ref="AC1" authorId="0" shapeId="0">
      <text>
        <t>初始开停机状态已持续时间（h）</t>
      </text>
    </comment>
  </commentList>
</comments>
</file>

<file path=xl/comments/comment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最小抽水吸收功率（MW）</t>
      </text>
    </comment>
    <comment ref="V1" authorId="0" shapeId="0">
      <text>
        <t>最大等效储能容量（MWh）</t>
      </text>
    </comment>
    <comment ref="W1" authorId="0" shapeId="0">
      <text>
        <t>最小SOC（0~1）</t>
      </text>
    </comment>
    <comment ref="X1" authorId="0" shapeId="0">
      <text>
        <t>最大SOC（0~1）</t>
      </text>
    </comment>
    <comment ref="Y1" authorId="0" shapeId="0">
      <text>
        <t>初始SOC（0~1）</t>
      </text>
    </comment>
    <comment ref="Z1" authorId="0" shapeId="0">
      <text>
        <t>本周期固定运维系数（万元/MW·基准期）</t>
      </text>
    </comment>
    <comment ref="AA1" authorId="0" shapeId="0">
      <text>
        <t>数据状态（文本）</t>
      </text>
    </comment>
  </commentList>
</comments>
</file>

<file path=xl/comments/comment5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单位发电成本（原货币单位/MWh）</t>
      </text>
    </comment>
    <comment ref="Y1" authorId="0" shapeId="0">
      <text>
        <t>数据状态（文本）</t>
      </text>
    </comment>
  </commentList>
</comments>
</file>

<file path=xl/comments/comment6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周期前功率（MW）</t>
      </text>
    </comment>
    <comment ref="V1" authorId="0" shapeId="0">
      <text>
        <t>本周期固定运维系数（万元/MW·基准期）</t>
      </text>
    </comment>
    <comment ref="W1" authorId="0" shapeId="0">
      <text>
        <t>周期前检修状态（0/1）</t>
      </text>
    </comment>
    <comment ref="X1" authorId="0" shapeId="0">
      <text>
        <t>启动允许功率变化（MW/时段）</t>
      </text>
    </comment>
    <comment ref="Y1" authorId="0" shapeId="0">
      <text>
        <t>停机允许功率变化（MW/时段）</t>
      </text>
    </comment>
    <comment ref="Z1" authorId="0" shapeId="0">
      <text>
        <t>单位发电成本（原货币单位/MWh）</t>
      </text>
    </comment>
    <comment ref="AA1" authorId="0" shapeId="0">
      <text>
        <t>数据状态（文本）</t>
      </text>
    </comment>
    <comment ref="AB1" authorId="0" shapeId="0">
      <text>
        <t>本次可用发电量上限（MWh）</t>
      </text>
    </comment>
  </commentList>
</comments>
</file>

<file path=xl/comments/comment7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原始数据库编号（原值）</t>
      </text>
    </comment>
    <comment ref="C1" authorId="0" shapeId="0">
      <text>
        <t>机组名称（文本）</t>
      </text>
    </comment>
    <comment ref="D1" authorId="0" shapeId="0">
      <text>
        <t>分区编号（编号）</t>
      </text>
    </comment>
    <comment ref="E1" authorId="0" shapeId="0">
      <text>
        <t>原电厂编号（原值）</t>
      </text>
    </comment>
    <comment ref="F1" authorId="0" shapeId="0">
      <text>
        <t>额定容量（MW）</t>
      </text>
    </comment>
    <comment ref="G1" authorId="0" shapeId="0">
      <text>
        <t>最小技术出力（MW）</t>
      </text>
    </comment>
    <comment ref="H1" authorId="0" shapeId="0">
      <text>
        <t>最小连续停机时间（h）</t>
      </text>
    </comment>
    <comment ref="I1" authorId="0" shapeId="0">
      <text>
        <t>最小连续开机时间（h）</t>
      </text>
    </comment>
    <comment ref="J1" authorId="0" shapeId="0">
      <text>
        <t>向上爬坡（MW/时段）</t>
      </text>
    </comment>
    <comment ref="K1" authorId="0" shapeId="0">
      <text>
        <t>向下爬坡（MW/时段）</t>
      </text>
    </comment>
    <comment ref="L1" authorId="0" shapeId="0">
      <text>
        <t>燃料二次项（原货币单位/(h·MW²)）</t>
      </text>
    </comment>
    <comment ref="M1" authorId="0" shapeId="0">
      <text>
        <t>燃料一次项（原货币单位/MWh）</t>
      </text>
    </comment>
    <comment ref="N1" authorId="0" shapeId="0">
      <text>
        <t>燃料常数项（原货币单位/h）</t>
      </text>
    </comment>
    <comment ref="O1" authorId="0" shapeId="0">
      <text>
        <t>启动成本（原货币单位/次）</t>
      </text>
    </comment>
    <comment ref="P1" authorId="0" shapeId="0">
      <text>
        <t>停机成本（原货币单位/次）</t>
      </text>
    </comment>
    <comment ref="Q1" authorId="0" shapeId="0">
      <text>
        <t>原抽水功率下限（MW）</t>
      </text>
    </comment>
    <comment ref="R1" authorId="0" shapeId="0">
      <text>
        <t>最大抽水功率（MW）</t>
      </text>
    </comment>
    <comment ref="S1" authorId="0" shapeId="0">
      <text>
        <t>发电效率（0~1）</t>
      </text>
    </comment>
    <comment ref="T1" authorId="0" shapeId="0">
      <text>
        <t>抽水效率（0~1）</t>
      </text>
    </comment>
    <comment ref="U1" authorId="0" shapeId="0">
      <text>
        <t>数据状态（文本）</t>
      </text>
    </comment>
  </commentList>
</comments>
</file>

<file path=xl/comments/comment8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9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分区编号（编号）</t>
      </text>
    </comment>
    <comment ref="C1" authorId="0" shapeId="0">
      <text>
        <t>分区名称（文本）</t>
      </text>
    </comment>
    <comment ref="D1" authorId="0" shapeId="0">
      <text>
        <t>装机容量（MW）</t>
      </text>
    </comment>
    <comment ref="E1" authorId="0" shapeId="0">
      <text>
        <t>本周期固定运维系数（万元/MW·基准期）</t>
      </text>
    </comment>
    <comment ref="F1" authorId="0" shapeId="0">
      <text>
        <t>数据状态（文本）</t>
      </text>
    </comment>
  </commentList>
</comments>
</file>

<file path=xl/comments/comment10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最大等效储能容量（MWh）</t>
      </text>
    </comment>
    <comment ref="F1" authorId="0" shapeId="0">
      <text>
        <t>最小SOC（0~1）</t>
      </text>
    </comment>
    <comment ref="G1" authorId="0" shapeId="0">
      <text>
        <t>最大SOC（0~1）</t>
      </text>
    </comment>
    <comment ref="H1" authorId="0" shapeId="0">
      <text>
        <t>初始SOC（0~1）</t>
      </text>
    </comment>
    <comment ref="I1" authorId="0" shapeId="0">
      <text>
        <t>充电效率（0~1）</t>
      </text>
    </comment>
    <comment ref="J1" authorId="0" shapeId="0">
      <text>
        <t>放电效率（0~1）</t>
      </text>
    </comment>
    <comment ref="K1" authorId="0" shapeId="0">
      <text>
        <t>每小时自放电率（1/h）</t>
      </text>
    </comment>
    <comment ref="L1" authorId="0" shapeId="0">
      <text>
        <t>单位功率投资成本（元/MW）</t>
      </text>
    </comment>
    <comment ref="M1" authorId="0" shapeId="0">
      <text>
        <t>单位能量投资成本（元/MWh）</t>
      </text>
    </comment>
    <comment ref="N1" authorId="0" shapeId="0">
      <text>
        <t>替换系数（无量纲）</t>
      </text>
    </comment>
    <comment ref="O1" authorId="0" shapeId="0">
      <text>
        <t>最大满循环次数（次）</t>
      </text>
    </comment>
    <comment ref="P1" authorId="0" shapeId="0">
      <text>
        <t>本周期固定运维系数（万元/MW·基准期）</t>
      </text>
    </comment>
    <comment ref="Q1" authorId="0" shapeId="0">
      <text>
        <t>本周期能量容量运维系数（万元/MWh·基准期）</t>
      </text>
    </comment>
  </commentList>
</comments>
</file>

<file path=xl/comments/comment11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2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单位发电成本（原货币单位/MWh）</t>
      </text>
    </comment>
    <comment ref="F1" authorId="0" shapeId="0">
      <text>
        <t>本周期固定运维系数（万元/MW·基准期）</t>
      </text>
    </comment>
  </commentList>
</comments>
</file>

<file path=xl/comments/comment13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额定容量（MW）</t>
      </text>
    </comment>
    <comment ref="E1" authorId="0" shapeId="0">
      <text>
        <t>最小技术出力（MW）</t>
      </text>
    </comment>
    <comment ref="F1" authorId="0" shapeId="0">
      <text>
        <t>集热效率（0~1）</t>
      </text>
    </comment>
    <comment ref="G1" authorId="0" shapeId="0">
      <text>
        <t>镜场面积（m²）</t>
      </text>
    </comment>
    <comment ref="H1" authorId="0" shapeId="0">
      <text>
        <t>太阳能倍数（无量纲）</t>
      </text>
    </comment>
    <comment ref="I1" authorId="0" shapeId="0">
      <text>
        <t>参考直接辐照度（W/m²）</t>
      </text>
    </comment>
    <comment ref="J1" authorId="0" shapeId="0">
      <text>
        <t>热电转换效率（0~1）</t>
      </text>
    </comment>
    <comment ref="K1" authorId="0" shapeId="0">
      <text>
        <t>储热输入效率（0~1）</t>
      </text>
    </comment>
    <comment ref="L1" authorId="0" shapeId="0">
      <text>
        <t>储热输出效率（0~1）</t>
      </text>
    </comment>
    <comment ref="M1" authorId="0" shapeId="0">
      <text>
        <t>储热损失率（1/h）</t>
      </text>
    </comment>
    <comment ref="N1" authorId="0" shapeId="0">
      <text>
        <t>最大充热功率（MWt）</t>
      </text>
    </comment>
    <comment ref="O1" authorId="0" shapeId="0">
      <text>
        <t>最大放热功率（MWt）</t>
      </text>
    </comment>
    <comment ref="P1" authorId="0" shapeId="0">
      <text>
        <t>最小储热量（MWht）</t>
      </text>
    </comment>
    <comment ref="Q1" authorId="0" shapeId="0">
      <text>
        <t>最大储热量（MWht）</t>
      </text>
    </comment>
    <comment ref="R1" authorId="0" shapeId="0">
      <text>
        <t>初始储热量（MWht）</t>
      </text>
    </comment>
    <comment ref="S1" authorId="0" shapeId="0">
      <text>
        <t>向上爬坡（MW/时段）</t>
      </text>
    </comment>
    <comment ref="T1" authorId="0" shapeId="0">
      <text>
        <t>向下爬坡（MW/时段）</t>
      </text>
    </comment>
    <comment ref="U1" authorId="0" shapeId="0">
      <text>
        <t>启动允许功率变化（MW/时段）</t>
      </text>
    </comment>
    <comment ref="V1" authorId="0" shapeId="0">
      <text>
        <t>停机允许功率变化（MW/时段）</t>
      </text>
    </comment>
    <comment ref="W1" authorId="0" shapeId="0">
      <text>
        <t>单位发电成本（原货币单位/MWh）</t>
      </text>
    </comment>
    <comment ref="X1" authorId="0" shapeId="0">
      <text>
        <t>本周期固定运维系数（原货币单位/MW）</t>
      </text>
    </comment>
    <comment ref="Y1" authorId="0" shapeId="0">
      <text>
        <t>周期前运行状态（0/1）</t>
      </text>
    </comment>
    <comment ref="Z1" authorId="0" shapeId="0">
      <text>
        <t>周期前电功率（MW）</t>
      </text>
    </comment>
  </commentList>
</comments>
</file>

<file path=xl/comments/comment14.xml><?xml version="1.0" encoding="utf-8"?>
<comments xmlns="http://schemas.openxmlformats.org/spreadsheetml/2006/main">
  <authors>
    <author>model-doc</author>
  </authors>
  <commentList>
    <comment ref="A1" authorId="0" shapeId="0">
      <text>
        <t>机组唯一编号（文本）</t>
      </text>
    </comment>
    <comment ref="B1" authorId="0" shapeId="0">
      <text>
        <t>机组名称（文本）</t>
      </text>
    </comment>
    <comment ref="C1" authorId="0" shapeId="0">
      <text>
        <t>分区编号（编号）</t>
      </text>
    </comment>
    <comment ref="D1" authorId="0" shapeId="0">
      <text>
        <t>站内风电容量（MW）</t>
      </text>
    </comment>
    <comment ref="E1" authorId="0" shapeId="0">
      <text>
        <t>站内光伏容量（MW）</t>
      </text>
    </comment>
    <comment ref="F1" authorId="0" shapeId="0">
      <text>
        <t>站内储能功率（MW）</t>
      </text>
    </comment>
    <comment ref="G1" authorId="0" shapeId="0">
      <text>
        <t>最大等效储能容量（MWh）</t>
      </text>
    </comment>
    <comment ref="H1" authorId="0" shapeId="0">
      <text>
        <t>最小SOC（0~1）</t>
      </text>
    </comment>
    <comment ref="I1" authorId="0" shapeId="0">
      <text>
        <t>最大SOC（0~1）</t>
      </text>
    </comment>
    <comment ref="J1" authorId="0" shapeId="0">
      <text>
        <t>初始SOC（0~1）</t>
      </text>
    </comment>
    <comment ref="K1" authorId="0" shapeId="0">
      <text>
        <t>充电效率（0~1）</t>
      </text>
    </comment>
    <comment ref="L1" authorId="0" shapeId="0">
      <text>
        <t>放电效率（0~1）</t>
      </text>
    </comment>
    <comment ref="M1" authorId="0" shapeId="0">
      <text>
        <t>本周期固定运维系数（原货币单位/MW）</t>
      </text>
    </comment>
    <comment ref="N1" authorId="0" shapeId="0">
      <text>
        <t>储能每小时自放电率（1/h）</t>
      </text>
    </comment>
    <comment ref="O1" authorId="0" shapeId="0">
      <text>
        <t>储能单位功率投资成本（元/MW）</t>
      </text>
    </comment>
    <comment ref="P1" authorId="0" shapeId="0">
      <text>
        <t>储能单位能量投资成本（元/MWh）</t>
      </text>
    </comment>
    <comment ref="Q1" authorId="0" shapeId="0">
      <text>
        <t>更换系数（无量纲）</t>
      </text>
    </comment>
    <comment ref="R1" authorId="0" shapeId="0">
      <text>
        <t>最大等效满循环次数（次）</t>
      </text>
    </comment>
    <comment ref="S1" authorId="0" shapeId="0">
      <text>
        <t>本周期储能能量运维（原货币单位/MWh）</t>
      </text>
    </comment>
    <comment ref="T1" authorId="0" shapeId="0">
      <text>
        <t>本周期站内风电运维（原货币单位/MW）</t>
      </text>
    </comment>
    <comment ref="U1" authorId="0" shapeId="0">
      <text>
        <t>本周期站内光伏运维（原货币单位/MW）</t>
      </text>
    </comment>
  </commentList>
</comments>
</file>

<file path=xl/comments/comment15.xml><?xml version="1.0" encoding="utf-8"?>
<comments xmlns="http://schemas.openxmlformats.org/spreadsheetml/2006/main">
  <authors>
    <author>model-doc</author>
  </authors>
  <commentList>
    <comment ref="A1" authorId="0" shapeId="0">
      <text>
        <t>年份</t>
      </text>
    </comment>
    <comment ref="B1" authorId="0" shapeId="0">
      <text>
        <t>设备类型</t>
      </text>
    </comment>
    <comment ref="C1" authorId="0" shapeId="0">
      <text>
        <t>机组唯一编号</t>
      </text>
    </comment>
    <comment ref="D1" authorId="0" shapeId="0">
      <text>
        <t>机组名称</t>
      </text>
    </comment>
    <comment ref="E1" authorId="0" shapeId="0">
      <text>
        <t>分区编号</t>
      </text>
    </comment>
    <comment ref="F1" authorId="0" shapeId="0">
      <text>
        <t>开始时间（含）</t>
      </text>
    </comment>
    <comment ref="G1" authorId="0" shapeId="0">
      <text>
        <t>结束时间（不含）</t>
      </text>
    </comment>
    <comment ref="H1" authorId="0" shapeId="0">
      <text>
        <t>是否启用（1=启用）</t>
      </text>
    </comment>
    <comment ref="I1" authorId="0" shapeId="0">
      <text>
        <t>备注</t>
      </text>
    </comment>
  </commentList>
</comments>
</file>

<file path=xl/tables/table1.xml><?xml version="1.0" encoding="utf-8"?>
<table xmlns="http://schemas.openxmlformats.org/spreadsheetml/2006/main" id="1" name="InputTable1" displayName="InputTable1" ref="A1:C6" headerRowCount="1" totalsRowShown="0">
  <autoFilter ref="A1:C6"/>
  <tableColumns count="3">
    <tableColumn id="1" name="AreaID"/>
    <tableColumn id="2" name="AreaName"/>
    <tableColumn id="3" name="Province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2" displayName="InputTable2" ref="A1:AD173" headerRowCount="1" totalsRowShown="0">
  <tableColumns count="30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INIT_HOURS"/>
    <tableColumn id="25" name="START_RAMP"/>
    <tableColumn id="26" name="STOP_RAMP"/>
    <tableColumn id="27" name="SO2_FACTOR"/>
    <tableColumn id="28" name="NOX_FACTOR"/>
    <tableColumn id="29" name="DUST_FACTOR"/>
    <tableColumn id="30" name="Data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3" displayName="InputTable3" ref="A1:AC2" headerRowCount="1" totalsRowShown="0">
  <tableColumns count="29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STATUS"/>
    <tableColumn id="22" name="INIT_POWER"/>
    <tableColumn id="23" name="FOM_COST_PERIOD"/>
    <tableColumn id="24" name="START_RAMP"/>
    <tableColumn id="25" name="STOP_RAMP"/>
    <tableColumn id="26" name="CO2_FACTOR"/>
    <tableColumn id="27" name="GEN_COST"/>
    <tableColumn id="28" name="DataStatus"/>
    <tableColumn id="29" name="INIT_HOU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Table4" displayName="InputTable4" ref="A1:AA2" headerRowCount="1" totalsRowShown="0">
  <tableColumns count="27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PUMP_MIN_MW"/>
    <tableColumn id="22" name="ENERGY_MWH"/>
    <tableColumn id="23" name="SOC_MIN"/>
    <tableColumn id="24" name="SOC_MAX"/>
    <tableColumn id="25" name="SOC_INITIAL"/>
    <tableColumn id="26" name="FOM_COST_PERIOD"/>
    <tableColumn id="27" name="Data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5" displayName="InputTable5" ref="A1:Y2" headerRowCount="1" totalsRowShown="0">
  <tableColumns count="25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GEN_COST"/>
    <tableColumn id="25" name="Data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nputTable6" displayName="InputTable6" ref="A1:AB2" headerRowCount="1" totalsRowShown="0">
  <tableColumns count="28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INIT_POWER"/>
    <tableColumn id="22" name="FOM_COST_PERIOD"/>
    <tableColumn id="23" name="INIT_MAINTENANCE"/>
    <tableColumn id="24" name="START_RAMP"/>
    <tableColumn id="25" name="STOP_RAMP"/>
    <tableColumn id="26" name="GEN_COST"/>
    <tableColumn id="27" name="DataStatus"/>
    <tableColumn id="28" name="ENERGY_LIMIT_MW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7" displayName="InputTable7" ref="A1:U14" headerRowCount="1" totalsRowShown="0">
  <autoFilter ref="A1:U14"/>
  <tableColumns count="21">
    <tableColumn id="1" name="UnitKey"/>
    <tableColumn id="2" name="ID"/>
    <tableColumn id="3" name="NAME"/>
    <tableColumn id="4" name="SUBSTR(C.ID，12)"/>
    <tableColumn id="5" name="PLANT_ID"/>
    <tableColumn id="6" name="CAP"/>
    <tableColumn id="7" name="MIN_POWER_GEN"/>
    <tableColumn id="8" name="MIN_DOWN_TIME"/>
    <tableColumn id="9" name="MIN_UP_TIME"/>
    <tableColumn id="10" name="RAMP_LIMIT_UP"/>
    <tableColumn id="11" name="RAMP_LIMIT_DOWN"/>
    <tableColumn id="12" name="COST_A"/>
    <tableColumn id="13" name="COST_B"/>
    <tableColumn id="14" name="COST_C"/>
    <tableColumn id="15" name="COST_START_UP"/>
    <tableColumn id="16" name="COST_SHUT_DOWN"/>
    <tableColumn id="17" name="MIN_POWER_CHARGE"/>
    <tableColumn id="18" name="MAX_POWER_CHARGE"/>
    <tableColumn id="19" name="GEN_AFFI_FACTOR"/>
    <tableColumn id="20" name="CHAEGE_AFFI_FACTOR"/>
    <tableColumn id="21" name="Data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putTable8" displayName="InputTable8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9" displayName="InputTable9" ref="A1:F6" headerRowCount="1" totalsRowShown="0">
  <tableColumns count="6">
    <tableColumn id="1" name="UnitKey"/>
    <tableColumn id="2" name="分区编号"/>
    <tableColumn id="3" name="分区名称"/>
    <tableColumn id="4" name="装机容量_MW"/>
    <tableColumn id="5" name="FOM_COST_PERIOD"/>
    <tableColumn id="6" name="Data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" displayName="Table1" ref="A1:Q2" headerRowCount="1" totalsRowShown="0">
  <tableColumns count="17">
    <tableColumn id="1" name="UnitKey"/>
    <tableColumn id="2" name="NAME"/>
    <tableColumn id="3" name="AreaID"/>
    <tableColumn id="4" name="CAP"/>
    <tableColumn id="5" name="ENERGY_MWH"/>
    <tableColumn id="6" name="SOC_MIN"/>
    <tableColumn id="7" name="SOC_MAX"/>
    <tableColumn id="8" name="SOC_INITIAL"/>
    <tableColumn id="9" name="ETA_CHARGE"/>
    <tableColumn id="10" name="ETA_DISCHARGE"/>
    <tableColumn id="11" name="SELF_DISCHARGE"/>
    <tableColumn id="12" name="POWER_COST"/>
    <tableColumn id="13" name="ENERGY_COST"/>
    <tableColumn id="14" name="REPLACE_FACTOR"/>
    <tableColumn id="15" name="MAX_CYCLES"/>
    <tableColumn id="16" name="FOM_COST_PERIOD"/>
    <tableColumn id="17" name="FOM_ENERGY_PERIO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2" displayName="Table2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3" displayName="Table3" ref="A1:F2" headerRowCount="1" totalsRowShown="0">
  <tableColumns count="6">
    <tableColumn id="1" name="UnitKey"/>
    <tableColumn id="2" name="NAME"/>
    <tableColumn id="3" name="AreaID"/>
    <tableColumn id="4" name="CAP"/>
    <tableColumn id="5" name="GEN_COST"/>
    <tableColumn id="6" name="FOM_COST_PERIO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InputTable10" displayName="InputTable10" ref="A1:I3" headerRowCount="1" totalsRowShown="0">
  <tableColumns count="9">
    <tableColumn id="1" name="Year"/>
    <tableColumn id="2" name="Type"/>
    <tableColumn id="3" name="UnitKey"/>
    <tableColumn id="4" name="UnitName"/>
    <tableColumn id="5" name="AreaID"/>
    <tableColumn id="6" name="StartTime"/>
    <tableColumn id="7" name="EndTime"/>
    <tableColumn id="8" name="Enabled"/>
    <tableColumn id="9" name="No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InputTable11" displayName="InputTable11" ref="A1:F366" headerRowCount="1" totalsRowShown="0">
  <autoFilter ref="A1:F366"/>
  <tableColumns count="6">
    <tableColumn id="1" name="Date"/>
    <tableColumn id="2" name="徐宿淮检修台数"/>
    <tableColumn id="3" name="连盐通检修台数"/>
    <tableColumn id="4" name="扬泰检修台数"/>
    <tableColumn id="5" name="宁镇常检修台数"/>
    <tableColumn id="6" name="锡苏检修台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InputTable12" displayName="InputTable12" ref="A1:I249" headerRowCount="1" totalsRowShown="0">
  <tableColumns count="9">
    <tableColumn id="1" name="设备类型"/>
    <tableColumn id="2" name="字段名"/>
    <tableColumn id="3" name="中文含义"/>
    <tableColumn id="4" name="单位"/>
    <tableColumn id="5" name="填写说明"/>
    <tableColumn id="6" name="数据来源"/>
    <tableColumn id="7" name="本次取值与口径"/>
    <tableColumn id="8" name="资料年份"/>
    <tableColumn id="9" name="来源或依据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InputTable13" displayName="InputTable13" ref="A1:B17" headerRowCount="1" totalsRowShown="0">
  <tableColumns count="2">
    <tableColumn id="1" name="事项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 outlineLevelRow="5"/>
  <cols>
    <col width="18" customWidth="1" min="1" max="1"/>
    <col width="22" customWidth="1" min="2" max="2"/>
    <col width="18" customWidth="1" min="3" max="3"/>
  </cols>
  <sheetData>
    <row r="1" ht="44" customHeight="1">
      <c r="A1" s="1" t="inlineStr">
        <is>
          <t>AreaID</t>
        </is>
      </c>
      <c r="B1" s="1" t="inlineStr">
        <is>
          <t>AreaName</t>
        </is>
      </c>
      <c r="C1" s="1" t="inlineStr">
        <is>
          <t>ProvinceID</t>
        </is>
      </c>
    </row>
    <row r="2" ht="23" customHeight="1">
      <c r="A2" s="6" t="inlineStr">
        <is>
          <t>1</t>
        </is>
      </c>
      <c r="B2" s="5" t="inlineStr">
        <is>
          <t>徐宿淮</t>
        </is>
      </c>
      <c r="C2" s="6" t="inlineStr">
        <is>
          <t>JS</t>
        </is>
      </c>
    </row>
    <row r="3" ht="23" customHeight="1">
      <c r="A3" s="6" t="inlineStr">
        <is>
          <t>2</t>
        </is>
      </c>
      <c r="B3" s="5" t="inlineStr">
        <is>
          <t>连盐通</t>
        </is>
      </c>
      <c r="C3" s="6" t="inlineStr">
        <is>
          <t>JS</t>
        </is>
      </c>
    </row>
    <row r="4" ht="23" customHeight="1">
      <c r="A4" s="6" t="inlineStr">
        <is>
          <t>3</t>
        </is>
      </c>
      <c r="B4" s="5" t="inlineStr">
        <is>
          <t>扬泰</t>
        </is>
      </c>
      <c r="C4" s="6" t="inlineStr">
        <is>
          <t>JS</t>
        </is>
      </c>
    </row>
    <row r="5" ht="23" customHeight="1">
      <c r="A5" s="6" t="inlineStr">
        <is>
          <t>4</t>
        </is>
      </c>
      <c r="B5" s="5" t="inlineStr">
        <is>
          <t>宁镇常</t>
        </is>
      </c>
      <c r="C5" s="6" t="inlineStr">
        <is>
          <t>JS</t>
        </is>
      </c>
    </row>
    <row r="6" ht="23" customHeight="1">
      <c r="A6" s="6" t="inlineStr">
        <is>
          <t>5</t>
        </is>
      </c>
      <c r="B6" s="5" t="inlineStr">
        <is>
          <t>锡苏</t>
        </is>
      </c>
      <c r="C6" s="6" t="inlineStr">
        <is>
          <t>JS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3"/>
  <sheetViews>
    <sheetView showGridLines="0" workbookViewId="0">
      <pane xSplit="2" ySplit="1" topLeftCell="C123" activePane="bottomRight" state="frozen"/>
      <selection activeCell="A1" sqref="A1"/>
      <selection pane="topRight" activeCell="A1" sqref="A1"/>
      <selection pane="bottomLeft" activeCell="A1" sqref="A1"/>
      <selection pane="bottomRight" activeCell="F1" sqref="F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9"/>
    <col width="48" customWidth="1" min="30" max="30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INIT_HOURS</t>
        </is>
      </c>
      <c r="Y1" s="1" t="inlineStr">
        <is>
          <t>START_RAMP</t>
        </is>
      </c>
      <c r="Z1" s="1" t="inlineStr">
        <is>
          <t>STOP_RAMP</t>
        </is>
      </c>
      <c r="AA1" s="1" t="inlineStr">
        <is>
          <t>SO2_FACTOR</t>
        </is>
      </c>
      <c r="AB1" s="1" t="inlineStr">
        <is>
          <t>NOX_FACTOR</t>
        </is>
      </c>
      <c r="AC1" s="1" t="inlineStr">
        <is>
          <t>DUST_FACTOR</t>
        </is>
      </c>
      <c r="AD1" s="1" t="inlineStr">
        <is>
          <t>DataStatus</t>
        </is>
      </c>
    </row>
    <row r="2" ht="34" customHeight="1">
      <c r="A2" s="6" t="inlineStr">
        <is>
          <t>TH_0001</t>
        </is>
      </c>
      <c r="B2" s="6" t="inlineStr">
        <is>
          <t>930632000000000000</t>
        </is>
      </c>
      <c r="C2" s="5" t="inlineStr">
        <is>
          <t>苏华金_127.0机_JM</t>
        </is>
      </c>
      <c r="D2" s="5" t="n">
        <v>1</v>
      </c>
      <c r="E2" s="6" t="inlineStr">
        <is>
          <t>93043200000000</t>
        </is>
      </c>
      <c r="F2" s="5" t="n">
        <v>1000</v>
      </c>
      <c r="G2" s="5" t="n">
        <v>300</v>
      </c>
      <c r="H2" s="5" t="n">
        <v>168</v>
      </c>
      <c r="I2" s="5" t="n">
        <v>72</v>
      </c>
      <c r="J2" s="5" t="n">
        <v>1200</v>
      </c>
      <c r="K2" s="5" t="n">
        <v>1200</v>
      </c>
      <c r="L2" s="5" t="n">
        <v>3e-06</v>
      </c>
      <c r="M2" s="5" t="n">
        <v>0.008</v>
      </c>
      <c r="N2" s="5" t="n">
        <v>0.8</v>
      </c>
      <c r="O2" s="5" t="n">
        <v>30</v>
      </c>
      <c r="P2" s="5" t="n">
        <v>30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1</v>
      </c>
      <c r="V2" s="8" t="n">
        <v>300</v>
      </c>
      <c r="W2" s="8" t="n">
        <v>8.4</v>
      </c>
      <c r="X2" s="8" t="n">
        <v>168</v>
      </c>
      <c r="Y2" s="8" t="n">
        <v>300</v>
      </c>
      <c r="Z2" s="8" t="n">
        <v>1000</v>
      </c>
      <c r="AA2" s="8" t="n">
        <v>0.0001</v>
      </c>
      <c r="AB2" s="8" t="n">
        <v>0.00015</v>
      </c>
      <c r="AC2" s="8" t="n">
        <v>1.5e-05</v>
      </c>
      <c r="AD2" s="2" t="inlineStr">
        <is>
          <t>原值保留；补值为算例假设，见字段说明</t>
        </is>
      </c>
    </row>
    <row r="3" ht="34" customHeight="1">
      <c r="A3" s="6" t="inlineStr">
        <is>
          <t>TH_0002</t>
        </is>
      </c>
      <c r="B3" s="6" t="inlineStr">
        <is>
          <t>930632000000000000</t>
        </is>
      </c>
      <c r="C3" s="5" t="inlineStr">
        <is>
          <t>苏华金_227.0机_JM</t>
        </is>
      </c>
      <c r="D3" s="5" t="n">
        <v>1</v>
      </c>
      <c r="E3" s="6" t="inlineStr">
        <is>
          <t>93043200000000</t>
        </is>
      </c>
      <c r="F3" s="5" t="n">
        <v>1000</v>
      </c>
      <c r="G3" s="5" t="n">
        <v>300</v>
      </c>
      <c r="H3" s="5" t="n">
        <v>168</v>
      </c>
      <c r="I3" s="5" t="n">
        <v>72</v>
      </c>
      <c r="J3" s="5" t="n">
        <v>1200</v>
      </c>
      <c r="K3" s="5" t="n">
        <v>1200</v>
      </c>
      <c r="L3" s="5" t="n">
        <v>3e-06</v>
      </c>
      <c r="M3" s="5" t="n">
        <v>0.008</v>
      </c>
      <c r="N3" s="5" t="n">
        <v>0.8</v>
      </c>
      <c r="O3" s="5" t="n">
        <v>30</v>
      </c>
      <c r="P3" s="5" t="n">
        <v>30</v>
      </c>
      <c r="Q3" s="5" t="n">
        <v>0</v>
      </c>
      <c r="R3" s="5" t="n">
        <v>0</v>
      </c>
      <c r="S3" s="5" t="n">
        <v>0</v>
      </c>
      <c r="T3" s="5" t="n">
        <v>0</v>
      </c>
      <c r="U3" s="8" t="n">
        <v>1</v>
      </c>
      <c r="V3" s="8" t="n">
        <v>300</v>
      </c>
      <c r="W3" s="8" t="n">
        <v>8.4</v>
      </c>
      <c r="X3" s="8" t="n">
        <v>168</v>
      </c>
      <c r="Y3" s="8" t="n">
        <v>300</v>
      </c>
      <c r="Z3" s="8" t="n">
        <v>1000</v>
      </c>
      <c r="AA3" s="8" t="n">
        <v>0.0001</v>
      </c>
      <c r="AB3" s="8" t="n">
        <v>0.00015</v>
      </c>
      <c r="AC3" s="8" t="n">
        <v>1.5e-05</v>
      </c>
      <c r="AD3" s="2" t="inlineStr">
        <is>
          <t>原值保留；补值为算例假设，见字段说明</t>
        </is>
      </c>
    </row>
    <row r="4" ht="34" customHeight="1">
      <c r="A4" s="6" t="inlineStr">
        <is>
          <t>TH_0003</t>
        </is>
      </c>
      <c r="B4" s="6" t="inlineStr">
        <is>
          <t>930632000000000000</t>
        </is>
      </c>
      <c r="C4" s="5" t="inlineStr">
        <is>
          <t>苏大唐_120.0机_Jm</t>
        </is>
      </c>
      <c r="D4" s="5" t="n">
        <v>1</v>
      </c>
      <c r="E4" s="6" t="inlineStr">
        <is>
          <t>93043200000000</t>
        </is>
      </c>
      <c r="F4" s="5" t="n">
        <v>660</v>
      </c>
      <c r="G4" s="5" t="n">
        <v>198</v>
      </c>
      <c r="H4" s="5" t="n">
        <v>168</v>
      </c>
      <c r="I4" s="5" t="n">
        <v>72</v>
      </c>
      <c r="J4" s="5" t="n">
        <v>792</v>
      </c>
      <c r="K4" s="5" t="n">
        <v>792</v>
      </c>
      <c r="L4" s="5" t="n">
        <v>3e-06</v>
      </c>
      <c r="M4" s="5" t="n">
        <v>0.008</v>
      </c>
      <c r="N4" s="5" t="n">
        <v>0.8</v>
      </c>
      <c r="O4" s="5" t="n">
        <v>30</v>
      </c>
      <c r="P4" s="5" t="n">
        <v>30</v>
      </c>
      <c r="Q4" s="5" t="n">
        <v>0</v>
      </c>
      <c r="R4" s="5" t="n">
        <v>0</v>
      </c>
      <c r="S4" s="5" t="n">
        <v>0</v>
      </c>
      <c r="T4" s="5" t="n">
        <v>0</v>
      </c>
      <c r="U4" s="8" t="n">
        <v>1</v>
      </c>
      <c r="V4" s="8" t="n">
        <v>198</v>
      </c>
      <c r="W4" s="8" t="n">
        <v>8.4</v>
      </c>
      <c r="X4" s="8" t="n">
        <v>168</v>
      </c>
      <c r="Y4" s="8" t="n">
        <v>198</v>
      </c>
      <c r="Z4" s="8" t="n">
        <v>660</v>
      </c>
      <c r="AA4" s="8" t="n">
        <v>0.0001</v>
      </c>
      <c r="AB4" s="8" t="n">
        <v>0.00015</v>
      </c>
      <c r="AC4" s="8" t="n">
        <v>1.5e-05</v>
      </c>
      <c r="AD4" s="2" t="inlineStr">
        <is>
          <t>原值保留；补值为算例假设，见字段说明</t>
        </is>
      </c>
    </row>
    <row r="5" ht="34" customHeight="1">
      <c r="A5" s="6" t="inlineStr">
        <is>
          <t>TH_0004</t>
        </is>
      </c>
      <c r="B5" s="6" t="inlineStr">
        <is>
          <t>930632000000000000</t>
        </is>
      </c>
      <c r="C5" s="5" t="inlineStr">
        <is>
          <t>苏大唐_220.0机_Jm</t>
        </is>
      </c>
      <c r="D5" s="5" t="n">
        <v>1</v>
      </c>
      <c r="E5" s="6" t="inlineStr">
        <is>
          <t>93043200000000</t>
        </is>
      </c>
      <c r="F5" s="5" t="n">
        <v>660</v>
      </c>
      <c r="G5" s="5" t="n">
        <v>198</v>
      </c>
      <c r="H5" s="5" t="n">
        <v>168</v>
      </c>
      <c r="I5" s="5" t="n">
        <v>72</v>
      </c>
      <c r="J5" s="5" t="n">
        <v>792</v>
      </c>
      <c r="K5" s="5" t="n">
        <v>792</v>
      </c>
      <c r="L5" s="5" t="n">
        <v>3e-06</v>
      </c>
      <c r="M5" s="5" t="n">
        <v>0.008</v>
      </c>
      <c r="N5" s="5" t="n">
        <v>0.8</v>
      </c>
      <c r="O5" s="5" t="n">
        <v>30</v>
      </c>
      <c r="P5" s="5" t="n">
        <v>30</v>
      </c>
      <c r="Q5" s="5" t="n">
        <v>0</v>
      </c>
      <c r="R5" s="5" t="n">
        <v>0</v>
      </c>
      <c r="S5" s="5" t="n">
        <v>0</v>
      </c>
      <c r="T5" s="5" t="n">
        <v>0</v>
      </c>
      <c r="U5" s="8" t="n">
        <v>1</v>
      </c>
      <c r="V5" s="8" t="n">
        <v>198</v>
      </c>
      <c r="W5" s="8" t="n">
        <v>8.4</v>
      </c>
      <c r="X5" s="8" t="n">
        <v>168</v>
      </c>
      <c r="Y5" s="8" t="n">
        <v>198</v>
      </c>
      <c r="Z5" s="8" t="n">
        <v>660</v>
      </c>
      <c r="AA5" s="8" t="n">
        <v>0.0001</v>
      </c>
      <c r="AB5" s="8" t="n">
        <v>0.00015</v>
      </c>
      <c r="AC5" s="8" t="n">
        <v>1.5e-05</v>
      </c>
      <c r="AD5" s="2" t="inlineStr">
        <is>
          <t>原值保留；补值为算例假设，见字段说明</t>
        </is>
      </c>
    </row>
    <row r="6" ht="34" customHeight="1">
      <c r="A6" s="6" t="inlineStr">
        <is>
          <t>TH_0005</t>
        </is>
      </c>
      <c r="B6" s="6" t="inlineStr">
        <is>
          <t>930632000000000000</t>
        </is>
      </c>
      <c r="C6" s="5" t="inlineStr">
        <is>
          <t>苏南热_122.0机_Jm</t>
        </is>
      </c>
      <c r="D6" s="5" t="n">
        <v>1</v>
      </c>
      <c r="E6" s="6" t="inlineStr">
        <is>
          <t>93043200000000</t>
        </is>
      </c>
      <c r="F6" s="5" t="n">
        <v>600</v>
      </c>
      <c r="G6" s="5" t="n">
        <v>180</v>
      </c>
      <c r="H6" s="5" t="n">
        <v>168</v>
      </c>
      <c r="I6" s="5" t="n">
        <v>72</v>
      </c>
      <c r="J6" s="5" t="n">
        <v>720</v>
      </c>
      <c r="K6" s="5" t="n">
        <v>720</v>
      </c>
      <c r="L6" s="5" t="n">
        <v>5e-06</v>
      </c>
      <c r="M6" s="5" t="n">
        <v>0.01</v>
      </c>
      <c r="N6" s="5" t="n">
        <v>0.5</v>
      </c>
      <c r="O6" s="5" t="n">
        <v>8</v>
      </c>
      <c r="P6" s="5" t="n">
        <v>8</v>
      </c>
      <c r="Q6" s="5" t="n">
        <v>0</v>
      </c>
      <c r="R6" s="5" t="n">
        <v>0</v>
      </c>
      <c r="S6" s="5" t="n">
        <v>0</v>
      </c>
      <c r="T6" s="5" t="n">
        <v>0</v>
      </c>
      <c r="U6" s="8" t="n">
        <v>1</v>
      </c>
      <c r="V6" s="8" t="n">
        <v>180</v>
      </c>
      <c r="W6" s="8" t="n">
        <v>8.4</v>
      </c>
      <c r="X6" s="8" t="n">
        <v>168</v>
      </c>
      <c r="Y6" s="8" t="n">
        <v>180</v>
      </c>
      <c r="Z6" s="8" t="n">
        <v>600</v>
      </c>
      <c r="AA6" s="8" t="n">
        <v>0.0001</v>
      </c>
      <c r="AB6" s="8" t="n">
        <v>0.00015</v>
      </c>
      <c r="AC6" s="8" t="n">
        <v>1.5e-05</v>
      </c>
      <c r="AD6" s="2" t="inlineStr">
        <is>
          <t>原值保留；补值为算例假设，见字段说明</t>
        </is>
      </c>
    </row>
    <row r="7" ht="34" customHeight="1">
      <c r="A7" s="6" t="inlineStr">
        <is>
          <t>TH_0006</t>
        </is>
      </c>
      <c r="B7" s="6" t="inlineStr">
        <is>
          <t>930632000000000000</t>
        </is>
      </c>
      <c r="C7" s="5" t="inlineStr">
        <is>
          <t>苏南热_222.0机_Jm</t>
        </is>
      </c>
      <c r="D7" s="5" t="n">
        <v>1</v>
      </c>
      <c r="E7" s="6" t="inlineStr">
        <is>
          <t>93043200000000</t>
        </is>
      </c>
      <c r="F7" s="5" t="n">
        <v>600</v>
      </c>
      <c r="G7" s="5" t="n">
        <v>180</v>
      </c>
      <c r="H7" s="5" t="n">
        <v>168</v>
      </c>
      <c r="I7" s="5" t="n">
        <v>72</v>
      </c>
      <c r="J7" s="5" t="n">
        <v>720</v>
      </c>
      <c r="K7" s="5" t="n">
        <v>720</v>
      </c>
      <c r="L7" s="5" t="n">
        <v>5e-06</v>
      </c>
      <c r="M7" s="5" t="n">
        <v>0.01</v>
      </c>
      <c r="N7" s="5" t="n">
        <v>0.5</v>
      </c>
      <c r="O7" s="5" t="n">
        <v>8</v>
      </c>
      <c r="P7" s="5" t="n">
        <v>8</v>
      </c>
      <c r="Q7" s="5" t="n">
        <v>0</v>
      </c>
      <c r="R7" s="5" t="n">
        <v>0</v>
      </c>
      <c r="S7" s="5" t="n">
        <v>0</v>
      </c>
      <c r="T7" s="5" t="n">
        <v>0</v>
      </c>
      <c r="U7" s="8" t="n">
        <v>1</v>
      </c>
      <c r="V7" s="8" t="n">
        <v>180</v>
      </c>
      <c r="W7" s="8" t="n">
        <v>8.4</v>
      </c>
      <c r="X7" s="8" t="n">
        <v>168</v>
      </c>
      <c r="Y7" s="8" t="n">
        <v>180</v>
      </c>
      <c r="Z7" s="8" t="n">
        <v>600</v>
      </c>
      <c r="AA7" s="8" t="n">
        <v>0.0001</v>
      </c>
      <c r="AB7" s="8" t="n">
        <v>0.00015</v>
      </c>
      <c r="AC7" s="8" t="n">
        <v>1.5e-05</v>
      </c>
      <c r="AD7" s="2" t="inlineStr">
        <is>
          <t>原值保留；补值为算例假设，见字段说明</t>
        </is>
      </c>
    </row>
    <row r="8" ht="34" customHeight="1">
      <c r="A8" s="6" t="inlineStr">
        <is>
          <t>TH_0007</t>
        </is>
      </c>
      <c r="B8" s="6" t="inlineStr">
        <is>
          <t>930632000000000000</t>
        </is>
      </c>
      <c r="C8" s="5" t="inlineStr">
        <is>
          <t>南京非统调</t>
        </is>
      </c>
      <c r="D8" s="5" t="n">
        <v>1</v>
      </c>
      <c r="E8" s="6" t="inlineStr">
        <is>
          <t>93043200000000</t>
        </is>
      </c>
      <c r="F8" s="5" t="n">
        <v>120</v>
      </c>
      <c r="G8" s="5" t="n">
        <v>72</v>
      </c>
      <c r="H8" s="5" t="n">
        <v>168</v>
      </c>
      <c r="I8" s="5" t="n">
        <v>72</v>
      </c>
      <c r="J8" s="5" t="n">
        <v>144</v>
      </c>
      <c r="K8" s="5" t="n">
        <v>144</v>
      </c>
      <c r="L8" s="5" t="n">
        <v>5e-06</v>
      </c>
      <c r="M8" s="5" t="n">
        <v>0.01</v>
      </c>
      <c r="N8" s="5" t="n">
        <v>0.5</v>
      </c>
      <c r="O8" s="5" t="n">
        <v>8</v>
      </c>
      <c r="P8" s="5" t="n">
        <v>8</v>
      </c>
      <c r="Q8" s="5" t="n">
        <v>0</v>
      </c>
      <c r="R8" s="5" t="n">
        <v>0</v>
      </c>
      <c r="S8" s="5" t="n">
        <v>0</v>
      </c>
      <c r="T8" s="5" t="n">
        <v>0</v>
      </c>
      <c r="U8" s="8" t="n">
        <v>1</v>
      </c>
      <c r="V8" s="8" t="n">
        <v>72</v>
      </c>
      <c r="W8" s="8" t="n">
        <v>8.4</v>
      </c>
      <c r="X8" s="8" t="n">
        <v>168</v>
      </c>
      <c r="Y8" s="8" t="n">
        <v>72</v>
      </c>
      <c r="Z8" s="8" t="n">
        <v>120</v>
      </c>
      <c r="AA8" s="8" t="n">
        <v>0.0001</v>
      </c>
      <c r="AB8" s="8" t="n">
        <v>0.00015</v>
      </c>
      <c r="AC8" s="8" t="n">
        <v>1.5e-05</v>
      </c>
      <c r="AD8" s="2" t="inlineStr">
        <is>
          <t>原值保留；补值为算例假设，见字段说明</t>
        </is>
      </c>
    </row>
    <row r="9" ht="34" customHeight="1">
      <c r="A9" s="6" t="inlineStr">
        <is>
          <t>TH_0008</t>
        </is>
      </c>
      <c r="B9" s="6" t="inlineStr">
        <is>
          <t>930632000000000000</t>
        </is>
      </c>
      <c r="C9" s="5" t="inlineStr">
        <is>
          <t>苏华润_320.0机_Jm</t>
        </is>
      </c>
      <c r="D9" s="5" t="n">
        <v>1</v>
      </c>
      <c r="E9" s="6" t="inlineStr">
        <is>
          <t>93043200000000</t>
        </is>
      </c>
      <c r="F9" s="5" t="n">
        <v>330</v>
      </c>
      <c r="G9" s="5" t="n">
        <v>99</v>
      </c>
      <c r="H9" s="5" t="n">
        <v>168</v>
      </c>
      <c r="I9" s="5" t="n">
        <v>72</v>
      </c>
      <c r="J9" s="5" t="n">
        <v>396</v>
      </c>
      <c r="K9" s="5" t="n">
        <v>396</v>
      </c>
      <c r="L9" s="5" t="n">
        <v>5e-06</v>
      </c>
      <c r="M9" s="5" t="n">
        <v>0.01</v>
      </c>
      <c r="N9" s="5" t="n">
        <v>0.5</v>
      </c>
      <c r="O9" s="5" t="n">
        <v>8</v>
      </c>
      <c r="P9" s="5" t="n">
        <v>8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v>1</v>
      </c>
      <c r="V9" s="8" t="n">
        <v>99</v>
      </c>
      <c r="W9" s="8" t="n">
        <v>8.4</v>
      </c>
      <c r="X9" s="8" t="n">
        <v>168</v>
      </c>
      <c r="Y9" s="8" t="n">
        <v>99</v>
      </c>
      <c r="Z9" s="8" t="n">
        <v>330</v>
      </c>
      <c r="AA9" s="8" t="n">
        <v>0.0001</v>
      </c>
      <c r="AB9" s="8" t="n">
        <v>0.00015</v>
      </c>
      <c r="AC9" s="8" t="n">
        <v>1.5e-05</v>
      </c>
      <c r="AD9" s="2" t="inlineStr">
        <is>
          <t>原值保留；补值为算例假设，见字段说明</t>
        </is>
      </c>
    </row>
    <row r="10" ht="34" customHeight="1">
      <c r="A10" s="6" t="inlineStr">
        <is>
          <t>TH_0009</t>
        </is>
      </c>
      <c r="B10" s="6" t="inlineStr">
        <is>
          <t>930632000000000000</t>
        </is>
      </c>
      <c r="C10" s="5" t="inlineStr">
        <is>
          <t>苏华润_420.0机_Jm</t>
        </is>
      </c>
      <c r="D10" s="5" t="n">
        <v>1</v>
      </c>
      <c r="E10" s="6" t="inlineStr">
        <is>
          <t>93043200000000</t>
        </is>
      </c>
      <c r="F10" s="5" t="n">
        <v>330</v>
      </c>
      <c r="G10" s="5" t="n">
        <v>99</v>
      </c>
      <c r="H10" s="5" t="n">
        <v>168</v>
      </c>
      <c r="I10" s="5" t="n">
        <v>72</v>
      </c>
      <c r="J10" s="5" t="n">
        <v>396</v>
      </c>
      <c r="K10" s="5" t="n">
        <v>396</v>
      </c>
      <c r="L10" s="5" t="n">
        <v>5e-06</v>
      </c>
      <c r="M10" s="5" t="n">
        <v>0.01</v>
      </c>
      <c r="N10" s="5" t="n">
        <v>0.5</v>
      </c>
      <c r="O10" s="5" t="n">
        <v>8</v>
      </c>
      <c r="P10" s="5" t="n">
        <v>8</v>
      </c>
      <c r="Q10" s="5" t="n">
        <v>0</v>
      </c>
      <c r="R10" s="5" t="n">
        <v>0</v>
      </c>
      <c r="S10" s="5" t="n">
        <v>0</v>
      </c>
      <c r="T10" s="5" t="n">
        <v>0</v>
      </c>
      <c r="U10" s="8" t="n">
        <v>1</v>
      </c>
      <c r="V10" s="8" t="n">
        <v>99</v>
      </c>
      <c r="W10" s="8" t="n">
        <v>8.4</v>
      </c>
      <c r="X10" s="8" t="n">
        <v>168</v>
      </c>
      <c r="Y10" s="8" t="n">
        <v>99</v>
      </c>
      <c r="Z10" s="8" t="n">
        <v>330</v>
      </c>
      <c r="AA10" s="8" t="n">
        <v>0.0001</v>
      </c>
      <c r="AB10" s="8" t="n">
        <v>0.00015</v>
      </c>
      <c r="AC10" s="8" t="n">
        <v>1.5e-05</v>
      </c>
      <c r="AD10" s="2" t="inlineStr">
        <is>
          <t>原值保留；补值为算例假设，见字段说明</t>
        </is>
      </c>
    </row>
    <row r="11" ht="34" customHeight="1">
      <c r="A11" s="6" t="inlineStr">
        <is>
          <t>TH_0010</t>
        </is>
      </c>
      <c r="B11" s="6" t="inlineStr">
        <is>
          <t>930632000000000000</t>
        </is>
      </c>
      <c r="C11" s="5" t="inlineStr">
        <is>
          <t>苏华京_120.0机_Jm</t>
        </is>
      </c>
      <c r="D11" s="5" t="n">
        <v>1</v>
      </c>
      <c r="E11" s="6" t="inlineStr">
        <is>
          <t>93043200000000</t>
        </is>
      </c>
      <c r="F11" s="5" t="n">
        <v>320</v>
      </c>
      <c r="G11" s="5" t="n">
        <v>96</v>
      </c>
      <c r="H11" s="5" t="n">
        <v>168</v>
      </c>
      <c r="I11" s="5" t="n">
        <v>72</v>
      </c>
      <c r="J11" s="5" t="n">
        <v>384</v>
      </c>
      <c r="K11" s="5" t="n">
        <v>384</v>
      </c>
      <c r="L11" s="5" t="n">
        <v>5e-06</v>
      </c>
      <c r="M11" s="5" t="n">
        <v>0.01</v>
      </c>
      <c r="N11" s="5" t="n">
        <v>0.5</v>
      </c>
      <c r="O11" s="5" t="n">
        <v>8</v>
      </c>
      <c r="P11" s="5" t="n">
        <v>8</v>
      </c>
      <c r="Q11" s="5" t="n">
        <v>0</v>
      </c>
      <c r="R11" s="5" t="n">
        <v>0</v>
      </c>
      <c r="S11" s="5" t="n">
        <v>0</v>
      </c>
      <c r="T11" s="5" t="n">
        <v>0</v>
      </c>
      <c r="U11" s="8" t="n">
        <v>1</v>
      </c>
      <c r="V11" s="8" t="n">
        <v>96</v>
      </c>
      <c r="W11" s="8" t="n">
        <v>8.4</v>
      </c>
      <c r="X11" s="8" t="n">
        <v>168</v>
      </c>
      <c r="Y11" s="8" t="n">
        <v>96</v>
      </c>
      <c r="Z11" s="8" t="n">
        <v>320</v>
      </c>
      <c r="AA11" s="8" t="n">
        <v>0.0001</v>
      </c>
      <c r="AB11" s="8" t="n">
        <v>0.00015</v>
      </c>
      <c r="AC11" s="8" t="n">
        <v>1.5e-05</v>
      </c>
      <c r="AD11" s="2" t="inlineStr">
        <is>
          <t>原值保留；补值为算例假设，见字段说明</t>
        </is>
      </c>
    </row>
    <row r="12" ht="34" customHeight="1">
      <c r="A12" s="6" t="inlineStr">
        <is>
          <t>TH_0011</t>
        </is>
      </c>
      <c r="B12" s="6" t="inlineStr">
        <is>
          <t>930632000000000000</t>
        </is>
      </c>
      <c r="C12" s="5" t="inlineStr">
        <is>
          <t>苏华京_220.0机_Jm</t>
        </is>
      </c>
      <c r="D12" s="5" t="n">
        <v>1</v>
      </c>
      <c r="E12" s="6" t="inlineStr">
        <is>
          <t>93043200000000</t>
        </is>
      </c>
      <c r="F12" s="5" t="n">
        <v>320</v>
      </c>
      <c r="G12" s="5" t="n">
        <v>96</v>
      </c>
      <c r="H12" s="5" t="n">
        <v>168</v>
      </c>
      <c r="I12" s="5" t="n">
        <v>72</v>
      </c>
      <c r="J12" s="5" t="n">
        <v>384</v>
      </c>
      <c r="K12" s="5" t="n">
        <v>384</v>
      </c>
      <c r="L12" s="5" t="n">
        <v>5e-06</v>
      </c>
      <c r="M12" s="5" t="n">
        <v>0.01</v>
      </c>
      <c r="N12" s="5" t="n">
        <v>0.5</v>
      </c>
      <c r="O12" s="5" t="n">
        <v>8</v>
      </c>
      <c r="P12" s="5" t="n">
        <v>8</v>
      </c>
      <c r="Q12" s="5" t="n">
        <v>0</v>
      </c>
      <c r="R12" s="5" t="n">
        <v>0</v>
      </c>
      <c r="S12" s="5" t="n">
        <v>0</v>
      </c>
      <c r="T12" s="5" t="n">
        <v>0</v>
      </c>
      <c r="U12" s="8" t="n">
        <v>1</v>
      </c>
      <c r="V12" s="8" t="n">
        <v>96</v>
      </c>
      <c r="W12" s="8" t="n">
        <v>8.4</v>
      </c>
      <c r="X12" s="8" t="n">
        <v>168</v>
      </c>
      <c r="Y12" s="8" t="n">
        <v>96</v>
      </c>
      <c r="Z12" s="8" t="n">
        <v>320</v>
      </c>
      <c r="AA12" s="8" t="n">
        <v>0.0001</v>
      </c>
      <c r="AB12" s="8" t="n">
        <v>0.00015</v>
      </c>
      <c r="AC12" s="8" t="n">
        <v>1.5e-05</v>
      </c>
      <c r="AD12" s="2" t="inlineStr">
        <is>
          <t>原值保留；补值为算例假设，见字段说明</t>
        </is>
      </c>
    </row>
    <row r="13" ht="34" customHeight="1">
      <c r="A13" s="6" t="inlineStr">
        <is>
          <t>TH_0012</t>
        </is>
      </c>
      <c r="B13" s="6" t="inlineStr">
        <is>
          <t>930632000000000000</t>
        </is>
      </c>
      <c r="C13" s="5" t="inlineStr">
        <is>
          <t>苏宁热_420.0机_Jm</t>
        </is>
      </c>
      <c r="D13" s="5" t="n">
        <v>1</v>
      </c>
      <c r="E13" s="6" t="inlineStr">
        <is>
          <t>93043200000000</t>
        </is>
      </c>
      <c r="F13" s="5" t="n">
        <v>300</v>
      </c>
      <c r="G13" s="5" t="n">
        <v>90</v>
      </c>
      <c r="H13" s="5" t="n">
        <v>168</v>
      </c>
      <c r="I13" s="5" t="n">
        <v>72</v>
      </c>
      <c r="J13" s="5" t="n">
        <v>360</v>
      </c>
      <c r="K13" s="5" t="n">
        <v>360</v>
      </c>
      <c r="L13" s="5" t="n">
        <v>5e-06</v>
      </c>
      <c r="M13" s="5" t="n">
        <v>0.01</v>
      </c>
      <c r="N13" s="5" t="n">
        <v>0.5</v>
      </c>
      <c r="O13" s="5" t="n">
        <v>8</v>
      </c>
      <c r="P13" s="5" t="n">
        <v>8</v>
      </c>
      <c r="Q13" s="5" t="n">
        <v>0</v>
      </c>
      <c r="R13" s="5" t="n">
        <v>0</v>
      </c>
      <c r="S13" s="5" t="n">
        <v>0</v>
      </c>
      <c r="T13" s="5" t="n">
        <v>0</v>
      </c>
      <c r="U13" s="8" t="n">
        <v>1</v>
      </c>
      <c r="V13" s="8" t="n">
        <v>90</v>
      </c>
      <c r="W13" s="8" t="n">
        <v>8.4</v>
      </c>
      <c r="X13" s="8" t="n">
        <v>168</v>
      </c>
      <c r="Y13" s="8" t="n">
        <v>90</v>
      </c>
      <c r="Z13" s="8" t="n">
        <v>300</v>
      </c>
      <c r="AA13" s="8" t="n">
        <v>0.0001</v>
      </c>
      <c r="AB13" s="8" t="n">
        <v>0.00015</v>
      </c>
      <c r="AC13" s="8" t="n">
        <v>1.5e-05</v>
      </c>
      <c r="AD13" s="2" t="inlineStr">
        <is>
          <t>原值保留；补值为算例假设，见字段说明</t>
        </is>
      </c>
    </row>
    <row r="14" ht="34" customHeight="1">
      <c r="A14" s="6" t="inlineStr">
        <is>
          <t>TH_0013</t>
        </is>
      </c>
      <c r="B14" s="6" t="inlineStr">
        <is>
          <t>930632000000000000</t>
        </is>
      </c>
      <c r="C14" s="5" t="inlineStr">
        <is>
          <t>苏宁热_520.0机_Jm</t>
        </is>
      </c>
      <c r="D14" s="5" t="n">
        <v>1</v>
      </c>
      <c r="E14" s="6" t="inlineStr">
        <is>
          <t>93043200000000</t>
        </is>
      </c>
      <c r="F14" s="5" t="n">
        <v>300</v>
      </c>
      <c r="G14" s="5" t="n">
        <v>90</v>
      </c>
      <c r="H14" s="5" t="n">
        <v>168</v>
      </c>
      <c r="I14" s="5" t="n">
        <v>72</v>
      </c>
      <c r="J14" s="5" t="n">
        <v>360</v>
      </c>
      <c r="K14" s="5" t="n">
        <v>360</v>
      </c>
      <c r="L14" s="5" t="n">
        <v>5e-06</v>
      </c>
      <c r="M14" s="5" t="n">
        <v>0.01</v>
      </c>
      <c r="N14" s="5" t="n">
        <v>0.5</v>
      </c>
      <c r="O14" s="5" t="n">
        <v>8</v>
      </c>
      <c r="P14" s="5" t="n">
        <v>8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v>1</v>
      </c>
      <c r="V14" s="8" t="n">
        <v>90</v>
      </c>
      <c r="W14" s="8" t="n">
        <v>8.4</v>
      </c>
      <c r="X14" s="8" t="n">
        <v>168</v>
      </c>
      <c r="Y14" s="8" t="n">
        <v>90</v>
      </c>
      <c r="Z14" s="8" t="n">
        <v>300</v>
      </c>
      <c r="AA14" s="8" t="n">
        <v>0.0001</v>
      </c>
      <c r="AB14" s="8" t="n">
        <v>0.00015</v>
      </c>
      <c r="AC14" s="8" t="n">
        <v>1.5e-05</v>
      </c>
      <c r="AD14" s="2" t="inlineStr">
        <is>
          <t>原值保留；补值为算例假设，见字段说明</t>
        </is>
      </c>
    </row>
    <row r="15" ht="34" customHeight="1">
      <c r="A15" s="6" t="inlineStr">
        <is>
          <t>TH_0014</t>
        </is>
      </c>
      <c r="B15" s="6" t="inlineStr">
        <is>
          <t>930632000000000000</t>
        </is>
      </c>
      <c r="C15" s="5" t="inlineStr">
        <is>
          <t>苏华容_127.0机_JM</t>
        </is>
      </c>
      <c r="D15" s="5" t="n">
        <v>1</v>
      </c>
      <c r="E15" s="6" t="inlineStr">
        <is>
          <t>93043200000000</t>
        </is>
      </c>
      <c r="F15" s="5" t="n">
        <v>1000</v>
      </c>
      <c r="G15" s="5" t="n">
        <v>300</v>
      </c>
      <c r="H15" s="5" t="n">
        <v>168</v>
      </c>
      <c r="I15" s="5" t="n">
        <v>72</v>
      </c>
      <c r="J15" s="5" t="n">
        <v>1200</v>
      </c>
      <c r="K15" s="5" t="n">
        <v>1200</v>
      </c>
      <c r="L15" s="5" t="n">
        <v>3e-06</v>
      </c>
      <c r="M15" s="5" t="n">
        <v>0.008</v>
      </c>
      <c r="N15" s="5" t="n">
        <v>0.8</v>
      </c>
      <c r="O15" s="5" t="n">
        <v>30</v>
      </c>
      <c r="P15" s="5" t="n">
        <v>30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v>1</v>
      </c>
      <c r="V15" s="8" t="n">
        <v>300</v>
      </c>
      <c r="W15" s="8" t="n">
        <v>8.4</v>
      </c>
      <c r="X15" s="8" t="n">
        <v>168</v>
      </c>
      <c r="Y15" s="8" t="n">
        <v>300</v>
      </c>
      <c r="Z15" s="8" t="n">
        <v>1000</v>
      </c>
      <c r="AA15" s="8" t="n">
        <v>0.0001</v>
      </c>
      <c r="AB15" s="8" t="n">
        <v>0.00015</v>
      </c>
      <c r="AC15" s="8" t="n">
        <v>1.5e-05</v>
      </c>
      <c r="AD15" s="2" t="inlineStr">
        <is>
          <t>原值保留；补值为算例假设，见字段说明</t>
        </is>
      </c>
    </row>
    <row r="16" ht="34" customHeight="1">
      <c r="A16" s="6" t="inlineStr">
        <is>
          <t>TH_0015</t>
        </is>
      </c>
      <c r="B16" s="6" t="inlineStr">
        <is>
          <t>930632000000000000</t>
        </is>
      </c>
      <c r="C16" s="5" t="inlineStr">
        <is>
          <t>苏华容_227.0机_JM</t>
        </is>
      </c>
      <c r="D16" s="5" t="n">
        <v>1</v>
      </c>
      <c r="E16" s="6" t="inlineStr">
        <is>
          <t>93043200000000</t>
        </is>
      </c>
      <c r="F16" s="5" t="n">
        <v>1000</v>
      </c>
      <c r="G16" s="5" t="n">
        <v>300</v>
      </c>
      <c r="H16" s="5" t="n">
        <v>168</v>
      </c>
      <c r="I16" s="5" t="n">
        <v>72</v>
      </c>
      <c r="J16" s="5" t="n">
        <v>1200</v>
      </c>
      <c r="K16" s="5" t="n">
        <v>1200</v>
      </c>
      <c r="L16" s="5" t="n">
        <v>3e-06</v>
      </c>
      <c r="M16" s="5" t="n">
        <v>0.008</v>
      </c>
      <c r="N16" s="5" t="n">
        <v>0.8</v>
      </c>
      <c r="O16" s="5" t="n">
        <v>30</v>
      </c>
      <c r="P16" s="5" t="n">
        <v>30</v>
      </c>
      <c r="Q16" s="5" t="n">
        <v>0</v>
      </c>
      <c r="R16" s="5" t="n">
        <v>0</v>
      </c>
      <c r="S16" s="5" t="n">
        <v>0</v>
      </c>
      <c r="T16" s="5" t="n">
        <v>0</v>
      </c>
      <c r="U16" s="8" t="n">
        <v>1</v>
      </c>
      <c r="V16" s="8" t="n">
        <v>300</v>
      </c>
      <c r="W16" s="8" t="n">
        <v>8.4</v>
      </c>
      <c r="X16" s="8" t="n">
        <v>168</v>
      </c>
      <c r="Y16" s="8" t="n">
        <v>300</v>
      </c>
      <c r="Z16" s="8" t="n">
        <v>1000</v>
      </c>
      <c r="AA16" s="8" t="n">
        <v>0.0001</v>
      </c>
      <c r="AB16" s="8" t="n">
        <v>0.00015</v>
      </c>
      <c r="AC16" s="8" t="n">
        <v>1.5e-05</v>
      </c>
      <c r="AD16" s="2" t="inlineStr">
        <is>
          <t>原值保留；补值为算例假设，见字段说明</t>
        </is>
      </c>
    </row>
    <row r="17" ht="34" customHeight="1">
      <c r="A17" s="6" t="inlineStr">
        <is>
          <t>TH_0016</t>
        </is>
      </c>
      <c r="B17" s="6" t="inlineStr">
        <is>
          <t>930632000000000000</t>
        </is>
      </c>
      <c r="C17" s="5" t="inlineStr">
        <is>
          <t>苏华容_327.0机_JM</t>
        </is>
      </c>
      <c r="D17" s="5" t="n">
        <v>1</v>
      </c>
      <c r="E17" s="6" t="inlineStr">
        <is>
          <t>93043200000000</t>
        </is>
      </c>
      <c r="F17" s="5" t="n">
        <v>1000</v>
      </c>
      <c r="G17" s="5" t="n">
        <v>300</v>
      </c>
      <c r="H17" s="5" t="n">
        <v>168</v>
      </c>
      <c r="I17" s="5" t="n">
        <v>72</v>
      </c>
      <c r="J17" s="5" t="n">
        <v>1200</v>
      </c>
      <c r="K17" s="5" t="n">
        <v>1200</v>
      </c>
      <c r="L17" s="5" t="n">
        <v>3e-06</v>
      </c>
      <c r="M17" s="5" t="n">
        <v>0.008</v>
      </c>
      <c r="N17" s="5" t="n">
        <v>0.8</v>
      </c>
      <c r="O17" s="5" t="n">
        <v>30</v>
      </c>
      <c r="P17" s="5" t="n">
        <v>30</v>
      </c>
      <c r="Q17" s="5" t="n">
        <v>0</v>
      </c>
      <c r="R17" s="5" t="n">
        <v>0</v>
      </c>
      <c r="S17" s="5" t="n">
        <v>0</v>
      </c>
      <c r="T17" s="5" t="n">
        <v>0</v>
      </c>
      <c r="U17" s="8" t="n">
        <v>1</v>
      </c>
      <c r="V17" s="8" t="n">
        <v>300</v>
      </c>
      <c r="W17" s="8" t="n">
        <v>8.4</v>
      </c>
      <c r="X17" s="8" t="n">
        <v>168</v>
      </c>
      <c r="Y17" s="8" t="n">
        <v>300</v>
      </c>
      <c r="Z17" s="8" t="n">
        <v>1000</v>
      </c>
      <c r="AA17" s="8" t="n">
        <v>0.0001</v>
      </c>
      <c r="AB17" s="8" t="n">
        <v>0.00015</v>
      </c>
      <c r="AC17" s="8" t="n">
        <v>1.5e-05</v>
      </c>
      <c r="AD17" s="2" t="inlineStr">
        <is>
          <t>原值保留；补值为算例假设，见字段说明</t>
        </is>
      </c>
    </row>
    <row r="18" ht="34" customHeight="1">
      <c r="A18" s="6" t="inlineStr">
        <is>
          <t>TH_0017</t>
        </is>
      </c>
      <c r="B18" s="6" t="inlineStr">
        <is>
          <t>930632000000000000</t>
        </is>
      </c>
      <c r="C18" s="5" t="inlineStr">
        <is>
          <t>苏华容_427.0机_JM</t>
        </is>
      </c>
      <c r="D18" s="5" t="n">
        <v>1</v>
      </c>
      <c r="E18" s="6" t="inlineStr">
        <is>
          <t>93043200000000</t>
        </is>
      </c>
      <c r="F18" s="5" t="n">
        <v>1000</v>
      </c>
      <c r="G18" s="5" t="n">
        <v>300</v>
      </c>
      <c r="H18" s="5" t="n">
        <v>168</v>
      </c>
      <c r="I18" s="5" t="n">
        <v>72</v>
      </c>
      <c r="J18" s="5" t="n">
        <v>1200</v>
      </c>
      <c r="K18" s="5" t="n">
        <v>1200</v>
      </c>
      <c r="L18" s="5" t="n">
        <v>3e-06</v>
      </c>
      <c r="M18" s="5" t="n">
        <v>0.008</v>
      </c>
      <c r="N18" s="5" t="n">
        <v>0.8</v>
      </c>
      <c r="O18" s="5" t="n">
        <v>30</v>
      </c>
      <c r="P18" s="5" t="n">
        <v>30</v>
      </c>
      <c r="Q18" s="5" t="n">
        <v>0</v>
      </c>
      <c r="R18" s="5" t="n">
        <v>0</v>
      </c>
      <c r="S18" s="5" t="n">
        <v>0</v>
      </c>
      <c r="T18" s="5" t="n">
        <v>0</v>
      </c>
      <c r="U18" s="8" t="n">
        <v>1</v>
      </c>
      <c r="V18" s="8" t="n">
        <v>300</v>
      </c>
      <c r="W18" s="8" t="n">
        <v>8.4</v>
      </c>
      <c r="X18" s="8" t="n">
        <v>168</v>
      </c>
      <c r="Y18" s="8" t="n">
        <v>300</v>
      </c>
      <c r="Z18" s="8" t="n">
        <v>1000</v>
      </c>
      <c r="AA18" s="8" t="n">
        <v>0.0001</v>
      </c>
      <c r="AB18" s="8" t="n">
        <v>0.00015</v>
      </c>
      <c r="AC18" s="8" t="n">
        <v>1.5e-05</v>
      </c>
      <c r="AD18" s="2" t="inlineStr">
        <is>
          <t>原值保留；补值为算例假设，见字段说明</t>
        </is>
      </c>
    </row>
    <row r="19" ht="34" customHeight="1">
      <c r="A19" s="6" t="inlineStr">
        <is>
          <t>TH_0018</t>
        </is>
      </c>
      <c r="B19" s="6" t="inlineStr">
        <is>
          <t>930632000000000000</t>
        </is>
      </c>
      <c r="C19" s="5" t="inlineStr">
        <is>
          <t>苏谏厂1327.0机_JM</t>
        </is>
      </c>
      <c r="D19" s="5" t="n">
        <v>1</v>
      </c>
      <c r="E19" s="6" t="inlineStr">
        <is>
          <t>93043200000000</t>
        </is>
      </c>
      <c r="F19" s="5" t="n">
        <v>1000</v>
      </c>
      <c r="G19" s="5" t="n">
        <v>300</v>
      </c>
      <c r="H19" s="5" t="n">
        <v>168</v>
      </c>
      <c r="I19" s="5" t="n">
        <v>72</v>
      </c>
      <c r="J19" s="5" t="n">
        <v>1200</v>
      </c>
      <c r="K19" s="5" t="n">
        <v>1200</v>
      </c>
      <c r="L19" s="5" t="n">
        <v>3e-06</v>
      </c>
      <c r="M19" s="5" t="n">
        <v>0.008</v>
      </c>
      <c r="N19" s="5" t="n">
        <v>0.8</v>
      </c>
      <c r="O19" s="5" t="n">
        <v>30</v>
      </c>
      <c r="P19" s="5" t="n">
        <v>30</v>
      </c>
      <c r="Q19" s="5" t="n">
        <v>0</v>
      </c>
      <c r="R19" s="5" t="n">
        <v>0</v>
      </c>
      <c r="S19" s="5" t="n">
        <v>0</v>
      </c>
      <c r="T19" s="5" t="n">
        <v>0</v>
      </c>
      <c r="U19" s="8" t="n">
        <v>1</v>
      </c>
      <c r="V19" s="8" t="n">
        <v>300</v>
      </c>
      <c r="W19" s="8" t="n">
        <v>8.4</v>
      </c>
      <c r="X19" s="8" t="n">
        <v>168</v>
      </c>
      <c r="Y19" s="8" t="n">
        <v>300</v>
      </c>
      <c r="Z19" s="8" t="n">
        <v>1000</v>
      </c>
      <c r="AA19" s="8" t="n">
        <v>0.0001</v>
      </c>
      <c r="AB19" s="8" t="n">
        <v>0.00015</v>
      </c>
      <c r="AC19" s="8" t="n">
        <v>1.5e-05</v>
      </c>
      <c r="AD19" s="2" t="inlineStr">
        <is>
          <t>原值保留；补值为算例假设，见字段说明</t>
        </is>
      </c>
    </row>
    <row r="20" ht="34" customHeight="1">
      <c r="A20" s="6" t="inlineStr">
        <is>
          <t>TH_0019</t>
        </is>
      </c>
      <c r="B20" s="6" t="inlineStr">
        <is>
          <t>930632000000000000</t>
        </is>
      </c>
      <c r="C20" s="5" t="inlineStr">
        <is>
          <t>苏谏厂1427.0机_JM</t>
        </is>
      </c>
      <c r="D20" s="5" t="n">
        <v>1</v>
      </c>
      <c r="E20" s="6" t="inlineStr">
        <is>
          <t>93043200000000</t>
        </is>
      </c>
      <c r="F20" s="5" t="n">
        <v>1000</v>
      </c>
      <c r="G20" s="5" t="n">
        <v>300</v>
      </c>
      <c r="H20" s="5" t="n">
        <v>168</v>
      </c>
      <c r="I20" s="5" t="n">
        <v>72</v>
      </c>
      <c r="J20" s="5" t="n">
        <v>1200</v>
      </c>
      <c r="K20" s="5" t="n">
        <v>1200</v>
      </c>
      <c r="L20" s="5" t="n">
        <v>3e-06</v>
      </c>
      <c r="M20" s="5" t="n">
        <v>0.008</v>
      </c>
      <c r="N20" s="5" t="n">
        <v>0.8</v>
      </c>
      <c r="O20" s="5" t="n">
        <v>30</v>
      </c>
      <c r="P20" s="5" t="n">
        <v>30</v>
      </c>
      <c r="Q20" s="5" t="n">
        <v>0</v>
      </c>
      <c r="R20" s="5" t="n">
        <v>0</v>
      </c>
      <c r="S20" s="5" t="n">
        <v>0</v>
      </c>
      <c r="T20" s="5" t="n">
        <v>0</v>
      </c>
      <c r="U20" s="8" t="n">
        <v>1</v>
      </c>
      <c r="V20" s="8" t="n">
        <v>300</v>
      </c>
      <c r="W20" s="8" t="n">
        <v>8.4</v>
      </c>
      <c r="X20" s="8" t="n">
        <v>168</v>
      </c>
      <c r="Y20" s="8" t="n">
        <v>300</v>
      </c>
      <c r="Z20" s="8" t="n">
        <v>1000</v>
      </c>
      <c r="AA20" s="8" t="n">
        <v>0.0001</v>
      </c>
      <c r="AB20" s="8" t="n">
        <v>0.00015</v>
      </c>
      <c r="AC20" s="8" t="n">
        <v>1.5e-05</v>
      </c>
      <c r="AD20" s="2" t="inlineStr">
        <is>
          <t>原值保留；补值为算例假设，见字段说明</t>
        </is>
      </c>
    </row>
    <row r="21" ht="34" customHeight="1">
      <c r="A21" s="6" t="inlineStr">
        <is>
          <t>TH_0020</t>
        </is>
      </c>
      <c r="B21" s="6" t="inlineStr">
        <is>
          <t>930632000000000000</t>
        </is>
      </c>
      <c r="C21" s="5" t="inlineStr">
        <is>
          <t>镇江非统调</t>
        </is>
      </c>
      <c r="D21" s="5" t="n">
        <v>1</v>
      </c>
      <c r="E21" s="6" t="inlineStr">
        <is>
          <t>93043200000000</t>
        </is>
      </c>
      <c r="F21" s="5" t="n">
        <v>120</v>
      </c>
      <c r="G21" s="5" t="n">
        <v>72</v>
      </c>
      <c r="H21" s="5" t="n">
        <v>168</v>
      </c>
      <c r="I21" s="5" t="n">
        <v>72</v>
      </c>
      <c r="J21" s="5" t="n">
        <v>144</v>
      </c>
      <c r="K21" s="5" t="n">
        <v>144</v>
      </c>
      <c r="L21" s="5" t="n">
        <v>5e-06</v>
      </c>
      <c r="M21" s="5" t="n">
        <v>0.01</v>
      </c>
      <c r="N21" s="5" t="n">
        <v>0.5</v>
      </c>
      <c r="O21" s="5" t="n">
        <v>8</v>
      </c>
      <c r="P21" s="5" t="n">
        <v>8</v>
      </c>
      <c r="Q21" s="5" t="n">
        <v>0</v>
      </c>
      <c r="R21" s="5" t="n">
        <v>0</v>
      </c>
      <c r="S21" s="5" t="n">
        <v>0</v>
      </c>
      <c r="T21" s="5" t="n">
        <v>0</v>
      </c>
      <c r="U21" s="8" t="n">
        <v>1</v>
      </c>
      <c r="V21" s="8" t="n">
        <v>72</v>
      </c>
      <c r="W21" s="8" t="n">
        <v>8.4</v>
      </c>
      <c r="X21" s="8" t="n">
        <v>168</v>
      </c>
      <c r="Y21" s="8" t="n">
        <v>72</v>
      </c>
      <c r="Z21" s="8" t="n">
        <v>120</v>
      </c>
      <c r="AA21" s="8" t="n">
        <v>0.0001</v>
      </c>
      <c r="AB21" s="8" t="n">
        <v>0.00015</v>
      </c>
      <c r="AC21" s="8" t="n">
        <v>1.5e-05</v>
      </c>
      <c r="AD21" s="2" t="inlineStr">
        <is>
          <t>原值保留；补值为算例假设，见字段说明</t>
        </is>
      </c>
    </row>
    <row r="22" ht="34" customHeight="1">
      <c r="A22" s="6" t="inlineStr">
        <is>
          <t>TH_0021</t>
        </is>
      </c>
      <c r="B22" s="6" t="inlineStr">
        <is>
          <t>930632000000000000</t>
        </is>
      </c>
      <c r="C22" s="5" t="inlineStr">
        <is>
          <t>苏镇厂_522.0机_JM</t>
        </is>
      </c>
      <c r="D22" s="5" t="n">
        <v>1</v>
      </c>
      <c r="E22" s="6" t="inlineStr">
        <is>
          <t>93043200000000</t>
        </is>
      </c>
      <c r="F22" s="5" t="n">
        <v>630</v>
      </c>
      <c r="G22" s="5" t="n">
        <v>189</v>
      </c>
      <c r="H22" s="5" t="n">
        <v>168</v>
      </c>
      <c r="I22" s="5" t="n">
        <v>72</v>
      </c>
      <c r="J22" s="5" t="n">
        <v>756</v>
      </c>
      <c r="K22" s="5" t="n">
        <v>756</v>
      </c>
      <c r="L22" s="5" t="n">
        <v>3e-06</v>
      </c>
      <c r="M22" s="5" t="n">
        <v>0.008</v>
      </c>
      <c r="N22" s="5" t="n">
        <v>0.8</v>
      </c>
      <c r="O22" s="5" t="n">
        <v>30</v>
      </c>
      <c r="P22" s="5" t="n">
        <v>30</v>
      </c>
      <c r="Q22" s="5" t="n">
        <v>0</v>
      </c>
      <c r="R22" s="5" t="n">
        <v>0</v>
      </c>
      <c r="S22" s="5" t="n">
        <v>0</v>
      </c>
      <c r="T22" s="5" t="n">
        <v>0</v>
      </c>
      <c r="U22" s="8" t="n">
        <v>1</v>
      </c>
      <c r="V22" s="8" t="n">
        <v>189</v>
      </c>
      <c r="W22" s="8" t="n">
        <v>8.4</v>
      </c>
      <c r="X22" s="8" t="n">
        <v>168</v>
      </c>
      <c r="Y22" s="8" t="n">
        <v>189</v>
      </c>
      <c r="Z22" s="8" t="n">
        <v>630</v>
      </c>
      <c r="AA22" s="8" t="n">
        <v>0.0001</v>
      </c>
      <c r="AB22" s="8" t="n">
        <v>0.00015</v>
      </c>
      <c r="AC22" s="8" t="n">
        <v>1.5e-05</v>
      </c>
      <c r="AD22" s="2" t="inlineStr">
        <is>
          <t>原值保留；补值为算例假设，见字段说明</t>
        </is>
      </c>
    </row>
    <row r="23" ht="34" customHeight="1">
      <c r="A23" s="6" t="inlineStr">
        <is>
          <t>TH_0022</t>
        </is>
      </c>
      <c r="B23" s="6" t="inlineStr">
        <is>
          <t>930632000000000000</t>
        </is>
      </c>
      <c r="C23" s="5" t="inlineStr">
        <is>
          <t>苏镇厂_622.0机_JM</t>
        </is>
      </c>
      <c r="D23" s="5" t="n">
        <v>1</v>
      </c>
      <c r="E23" s="6" t="inlineStr">
        <is>
          <t>93043200000000</t>
        </is>
      </c>
      <c r="F23" s="5" t="n">
        <v>630</v>
      </c>
      <c r="G23" s="5" t="n">
        <v>189</v>
      </c>
      <c r="H23" s="5" t="n">
        <v>168</v>
      </c>
      <c r="I23" s="5" t="n">
        <v>72</v>
      </c>
      <c r="J23" s="5" t="n">
        <v>756</v>
      </c>
      <c r="K23" s="5" t="n">
        <v>756</v>
      </c>
      <c r="L23" s="5" t="n">
        <v>3e-06</v>
      </c>
      <c r="M23" s="5" t="n">
        <v>0.008</v>
      </c>
      <c r="N23" s="5" t="n">
        <v>0.8</v>
      </c>
      <c r="O23" s="5" t="n">
        <v>30</v>
      </c>
      <c r="P23" s="5" t="n">
        <v>30</v>
      </c>
      <c r="Q23" s="5" t="n">
        <v>0</v>
      </c>
      <c r="R23" s="5" t="n">
        <v>0</v>
      </c>
      <c r="S23" s="5" t="n">
        <v>0</v>
      </c>
      <c r="T23" s="5" t="n">
        <v>0</v>
      </c>
      <c r="U23" s="8" t="n">
        <v>1</v>
      </c>
      <c r="V23" s="8" t="n">
        <v>189</v>
      </c>
      <c r="W23" s="8" t="n">
        <v>8.4</v>
      </c>
      <c r="X23" s="8" t="n">
        <v>168</v>
      </c>
      <c r="Y23" s="8" t="n">
        <v>189</v>
      </c>
      <c r="Z23" s="8" t="n">
        <v>630</v>
      </c>
      <c r="AA23" s="8" t="n">
        <v>0.0001</v>
      </c>
      <c r="AB23" s="8" t="n">
        <v>0.00015</v>
      </c>
      <c r="AC23" s="8" t="n">
        <v>1.5e-05</v>
      </c>
      <c r="AD23" s="2" t="inlineStr">
        <is>
          <t>原值保留；补值为算例假设，见字段说明</t>
        </is>
      </c>
    </row>
    <row r="24" ht="34" customHeight="1">
      <c r="A24" s="6" t="inlineStr">
        <is>
          <t>TH_0023</t>
        </is>
      </c>
      <c r="B24" s="6" t="inlineStr">
        <is>
          <t>930632000000000000</t>
        </is>
      </c>
      <c r="C24" s="5" t="inlineStr">
        <is>
          <t>苏谏二1120.0机_Jm</t>
        </is>
      </c>
      <c r="D24" s="5" t="n">
        <v>1</v>
      </c>
      <c r="E24" s="6" t="inlineStr">
        <is>
          <t>93043200000000</t>
        </is>
      </c>
      <c r="F24" s="5" t="n">
        <v>330</v>
      </c>
      <c r="G24" s="5" t="n">
        <v>99</v>
      </c>
      <c r="H24" s="5" t="n">
        <v>168</v>
      </c>
      <c r="I24" s="5" t="n">
        <v>72</v>
      </c>
      <c r="J24" s="5" t="n">
        <v>396</v>
      </c>
      <c r="K24" s="5" t="n">
        <v>396</v>
      </c>
      <c r="L24" s="5" t="n">
        <v>5e-06</v>
      </c>
      <c r="M24" s="5" t="n">
        <v>0.01</v>
      </c>
      <c r="N24" s="5" t="n">
        <v>0.5</v>
      </c>
      <c r="O24" s="5" t="n">
        <v>8</v>
      </c>
      <c r="P24" s="5" t="n">
        <v>8</v>
      </c>
      <c r="Q24" s="5" t="n">
        <v>0</v>
      </c>
      <c r="R24" s="5" t="n">
        <v>0</v>
      </c>
      <c r="S24" s="5" t="n">
        <v>0</v>
      </c>
      <c r="T24" s="5" t="n">
        <v>0</v>
      </c>
      <c r="U24" s="8" t="n">
        <v>1</v>
      </c>
      <c r="V24" s="8" t="n">
        <v>99</v>
      </c>
      <c r="W24" s="8" t="n">
        <v>8.4</v>
      </c>
      <c r="X24" s="8" t="n">
        <v>168</v>
      </c>
      <c r="Y24" s="8" t="n">
        <v>99</v>
      </c>
      <c r="Z24" s="8" t="n">
        <v>330</v>
      </c>
      <c r="AA24" s="8" t="n">
        <v>0.0001</v>
      </c>
      <c r="AB24" s="8" t="n">
        <v>0.00015</v>
      </c>
      <c r="AC24" s="8" t="n">
        <v>1.5e-05</v>
      </c>
      <c r="AD24" s="2" t="inlineStr">
        <is>
          <t>原值保留；补值为算例假设，见字段说明</t>
        </is>
      </c>
    </row>
    <row r="25" ht="34" customHeight="1">
      <c r="A25" s="6" t="inlineStr">
        <is>
          <t>TH_0024</t>
        </is>
      </c>
      <c r="B25" s="6" t="inlineStr">
        <is>
          <t>930632000000000000</t>
        </is>
      </c>
      <c r="C25" s="5" t="inlineStr">
        <is>
          <t>苏谏二1220.0机_Jm</t>
        </is>
      </c>
      <c r="D25" s="5" t="n">
        <v>1</v>
      </c>
      <c r="E25" s="6" t="inlineStr">
        <is>
          <t>93043200000000</t>
        </is>
      </c>
      <c r="F25" s="5" t="n">
        <v>330</v>
      </c>
      <c r="G25" s="5" t="n">
        <v>99</v>
      </c>
      <c r="H25" s="5" t="n">
        <v>168</v>
      </c>
      <c r="I25" s="5" t="n">
        <v>72</v>
      </c>
      <c r="J25" s="5" t="n">
        <v>396</v>
      </c>
      <c r="K25" s="5" t="n">
        <v>396</v>
      </c>
      <c r="L25" s="5" t="n">
        <v>5e-06</v>
      </c>
      <c r="M25" s="5" t="n">
        <v>0.01</v>
      </c>
      <c r="N25" s="5" t="n">
        <v>0.5</v>
      </c>
      <c r="O25" s="5" t="n">
        <v>8</v>
      </c>
      <c r="P25" s="5" t="n">
        <v>8</v>
      </c>
      <c r="Q25" s="5" t="n">
        <v>0</v>
      </c>
      <c r="R25" s="5" t="n">
        <v>0</v>
      </c>
      <c r="S25" s="5" t="n">
        <v>0</v>
      </c>
      <c r="T25" s="5" t="n">
        <v>0</v>
      </c>
      <c r="U25" s="8" t="n">
        <v>1</v>
      </c>
      <c r="V25" s="8" t="n">
        <v>99</v>
      </c>
      <c r="W25" s="8" t="n">
        <v>8.4</v>
      </c>
      <c r="X25" s="8" t="n">
        <v>168</v>
      </c>
      <c r="Y25" s="8" t="n">
        <v>99</v>
      </c>
      <c r="Z25" s="8" t="n">
        <v>330</v>
      </c>
      <c r="AA25" s="8" t="n">
        <v>0.0001</v>
      </c>
      <c r="AB25" s="8" t="n">
        <v>0.00015</v>
      </c>
      <c r="AC25" s="8" t="n">
        <v>1.5e-05</v>
      </c>
      <c r="AD25" s="2" t="inlineStr">
        <is>
          <t>原值保留；补值为算例假设，见字段说明</t>
        </is>
      </c>
    </row>
    <row r="26" ht="34" customHeight="1">
      <c r="A26" s="6" t="inlineStr">
        <is>
          <t>TH_0025</t>
        </is>
      </c>
      <c r="B26" s="6" t="inlineStr">
        <is>
          <t>930632000000000000</t>
        </is>
      </c>
      <c r="C26" s="5" t="inlineStr">
        <is>
          <t>苏镇厂_315.8机_Jm</t>
        </is>
      </c>
      <c r="D26" s="5" t="n">
        <v>1</v>
      </c>
      <c r="E26" s="6" t="inlineStr">
        <is>
          <t>93043200000000</t>
        </is>
      </c>
      <c r="F26" s="5" t="n">
        <v>135</v>
      </c>
      <c r="G26" s="5" t="n">
        <v>60.75</v>
      </c>
      <c r="H26" s="5" t="n">
        <v>168</v>
      </c>
      <c r="I26" s="5" t="n">
        <v>72</v>
      </c>
      <c r="J26" s="5" t="n">
        <v>162</v>
      </c>
      <c r="K26" s="5" t="n">
        <v>162</v>
      </c>
      <c r="L26" s="5" t="n">
        <v>8e-06</v>
      </c>
      <c r="M26" s="5" t="n">
        <v>0.012</v>
      </c>
      <c r="N26" s="5" t="n">
        <v>0.3</v>
      </c>
      <c r="O26" s="5" t="n">
        <v>3</v>
      </c>
      <c r="P26" s="5" t="n">
        <v>3</v>
      </c>
      <c r="Q26" s="5" t="n">
        <v>0</v>
      </c>
      <c r="R26" s="5" t="n">
        <v>0</v>
      </c>
      <c r="S26" s="5" t="n">
        <v>0</v>
      </c>
      <c r="T26" s="5" t="n">
        <v>0</v>
      </c>
      <c r="U26" s="8" t="n">
        <v>1</v>
      </c>
      <c r="V26" s="8" t="n">
        <v>60.75</v>
      </c>
      <c r="W26" s="8" t="n">
        <v>8.4</v>
      </c>
      <c r="X26" s="8" t="n">
        <v>168</v>
      </c>
      <c r="Y26" s="8" t="n">
        <v>60.75</v>
      </c>
      <c r="Z26" s="8" t="n">
        <v>135</v>
      </c>
      <c r="AA26" s="8" t="n">
        <v>0.0001</v>
      </c>
      <c r="AB26" s="8" t="n">
        <v>0.00015</v>
      </c>
      <c r="AC26" s="8" t="n">
        <v>1.5e-05</v>
      </c>
      <c r="AD26" s="2" t="inlineStr">
        <is>
          <t>原值保留；补值为算例假设，见字段说明</t>
        </is>
      </c>
    </row>
    <row r="27" ht="34" customHeight="1">
      <c r="A27" s="6" t="inlineStr">
        <is>
          <t>TH_0026</t>
        </is>
      </c>
      <c r="B27" s="6" t="inlineStr">
        <is>
          <t>930632000000000000</t>
        </is>
      </c>
      <c r="C27" s="5" t="inlineStr">
        <is>
          <t>苏镇厂_415.8机_Jm</t>
        </is>
      </c>
      <c r="D27" s="5" t="n">
        <v>1</v>
      </c>
      <c r="E27" s="6" t="inlineStr">
        <is>
          <t>93043200000000</t>
        </is>
      </c>
      <c r="F27" s="5" t="n">
        <v>135</v>
      </c>
      <c r="G27" s="5" t="n">
        <v>60.75</v>
      </c>
      <c r="H27" s="5" t="n">
        <v>168</v>
      </c>
      <c r="I27" s="5" t="n">
        <v>72</v>
      </c>
      <c r="J27" s="5" t="n">
        <v>162</v>
      </c>
      <c r="K27" s="5" t="n">
        <v>162</v>
      </c>
      <c r="L27" s="5" t="n">
        <v>8e-06</v>
      </c>
      <c r="M27" s="5" t="n">
        <v>0.012</v>
      </c>
      <c r="N27" s="5" t="n">
        <v>0.3</v>
      </c>
      <c r="O27" s="5" t="n">
        <v>3</v>
      </c>
      <c r="P27" s="5" t="n">
        <v>3</v>
      </c>
      <c r="Q27" s="5" t="n">
        <v>0</v>
      </c>
      <c r="R27" s="5" t="n">
        <v>0</v>
      </c>
      <c r="S27" s="5" t="n">
        <v>0</v>
      </c>
      <c r="T27" s="5" t="n">
        <v>0</v>
      </c>
      <c r="U27" s="8" t="n">
        <v>1</v>
      </c>
      <c r="V27" s="8" t="n">
        <v>60.75</v>
      </c>
      <c r="W27" s="8" t="n">
        <v>8.4</v>
      </c>
      <c r="X27" s="8" t="n">
        <v>168</v>
      </c>
      <c r="Y27" s="8" t="n">
        <v>60.75</v>
      </c>
      <c r="Z27" s="8" t="n">
        <v>135</v>
      </c>
      <c r="AA27" s="8" t="n">
        <v>0.0001</v>
      </c>
      <c r="AB27" s="8" t="n">
        <v>0.00015</v>
      </c>
      <c r="AC27" s="8" t="n">
        <v>1.5e-05</v>
      </c>
      <c r="AD27" s="2" t="inlineStr">
        <is>
          <t>原值保留；补值为算例假设，见字段说明</t>
        </is>
      </c>
    </row>
    <row r="28" ht="34" customHeight="1">
      <c r="A28" s="6" t="inlineStr">
        <is>
          <t>TH_0027</t>
        </is>
      </c>
      <c r="B28" s="6" t="inlineStr">
        <is>
          <t>930632000000000000</t>
        </is>
      </c>
      <c r="C28" s="5" t="inlineStr">
        <is>
          <t>苏常扩G127.0机_JM</t>
        </is>
      </c>
      <c r="D28" s="5" t="n">
        <v>1</v>
      </c>
      <c r="E28" s="6" t="inlineStr">
        <is>
          <t>93043200000000</t>
        </is>
      </c>
      <c r="F28" s="5" t="n">
        <v>1000</v>
      </c>
      <c r="G28" s="5" t="n">
        <v>300</v>
      </c>
      <c r="H28" s="5" t="n">
        <v>168</v>
      </c>
      <c r="I28" s="5" t="n">
        <v>72</v>
      </c>
      <c r="J28" s="5" t="n">
        <v>1200</v>
      </c>
      <c r="K28" s="5" t="n">
        <v>1200</v>
      </c>
      <c r="L28" s="5" t="n">
        <v>3e-06</v>
      </c>
      <c r="M28" s="5" t="n">
        <v>0.008</v>
      </c>
      <c r="N28" s="5" t="n">
        <v>0.8</v>
      </c>
      <c r="O28" s="5" t="n">
        <v>30</v>
      </c>
      <c r="P28" s="5" t="n">
        <v>30</v>
      </c>
      <c r="Q28" s="5" t="n">
        <v>0</v>
      </c>
      <c r="R28" s="5" t="n">
        <v>0</v>
      </c>
      <c r="S28" s="5" t="n">
        <v>0</v>
      </c>
      <c r="T28" s="5" t="n">
        <v>0</v>
      </c>
      <c r="U28" s="8" t="n">
        <v>1</v>
      </c>
      <c r="V28" s="8" t="n">
        <v>300</v>
      </c>
      <c r="W28" s="8" t="n">
        <v>8.4</v>
      </c>
      <c r="X28" s="8" t="n">
        <v>168</v>
      </c>
      <c r="Y28" s="8" t="n">
        <v>300</v>
      </c>
      <c r="Z28" s="8" t="n">
        <v>1000</v>
      </c>
      <c r="AA28" s="8" t="n">
        <v>0.0001</v>
      </c>
      <c r="AB28" s="8" t="n">
        <v>0.00015</v>
      </c>
      <c r="AC28" s="8" t="n">
        <v>1.5e-05</v>
      </c>
      <c r="AD28" s="2" t="inlineStr">
        <is>
          <t>原值保留；补值为算例假设，见字段说明</t>
        </is>
      </c>
    </row>
    <row r="29" ht="34" customHeight="1">
      <c r="A29" s="6" t="inlineStr">
        <is>
          <t>TH_0028</t>
        </is>
      </c>
      <c r="B29" s="6" t="inlineStr">
        <is>
          <t>930632000000000000</t>
        </is>
      </c>
      <c r="C29" s="5" t="inlineStr">
        <is>
          <t>苏常扩G227.0机_JM</t>
        </is>
      </c>
      <c r="D29" s="5" t="n">
        <v>1</v>
      </c>
      <c r="E29" s="6" t="inlineStr">
        <is>
          <t>93043200000000</t>
        </is>
      </c>
      <c r="F29" s="5" t="n">
        <v>1000</v>
      </c>
      <c r="G29" s="5" t="n">
        <v>300</v>
      </c>
      <c r="H29" s="5" t="n">
        <v>168</v>
      </c>
      <c r="I29" s="5" t="n">
        <v>72</v>
      </c>
      <c r="J29" s="5" t="n">
        <v>1200</v>
      </c>
      <c r="K29" s="5" t="n">
        <v>1200</v>
      </c>
      <c r="L29" s="5" t="n">
        <v>3e-06</v>
      </c>
      <c r="M29" s="5" t="n">
        <v>0.008</v>
      </c>
      <c r="N29" s="5" t="n">
        <v>0.8</v>
      </c>
      <c r="O29" s="5" t="n">
        <v>30</v>
      </c>
      <c r="P29" s="5" t="n">
        <v>30</v>
      </c>
      <c r="Q29" s="5" t="n">
        <v>0</v>
      </c>
      <c r="R29" s="5" t="n">
        <v>0</v>
      </c>
      <c r="S29" s="5" t="n">
        <v>0</v>
      </c>
      <c r="T29" s="5" t="n">
        <v>0</v>
      </c>
      <c r="U29" s="8" t="n">
        <v>1</v>
      </c>
      <c r="V29" s="8" t="n">
        <v>300</v>
      </c>
      <c r="W29" s="8" t="n">
        <v>8.4</v>
      </c>
      <c r="X29" s="8" t="n">
        <v>168</v>
      </c>
      <c r="Y29" s="8" t="n">
        <v>300</v>
      </c>
      <c r="Z29" s="8" t="n">
        <v>1000</v>
      </c>
      <c r="AA29" s="8" t="n">
        <v>0.0001</v>
      </c>
      <c r="AB29" s="8" t="n">
        <v>0.00015</v>
      </c>
      <c r="AC29" s="8" t="n">
        <v>1.5e-05</v>
      </c>
      <c r="AD29" s="2" t="inlineStr">
        <is>
          <t>原值保留；补值为算例假设，见字段说明</t>
        </is>
      </c>
    </row>
    <row r="30" ht="34" customHeight="1">
      <c r="A30" s="6" t="inlineStr">
        <is>
          <t>TH_0029</t>
        </is>
      </c>
      <c r="B30" s="6" t="inlineStr">
        <is>
          <t>930632000000000000</t>
        </is>
      </c>
      <c r="C30" s="5" t="inlineStr">
        <is>
          <t>苏常厂_120.0机_Jm</t>
        </is>
      </c>
      <c r="D30" s="5" t="n">
        <v>1</v>
      </c>
      <c r="E30" s="6" t="inlineStr">
        <is>
          <t>93043200000000</t>
        </is>
      </c>
      <c r="F30" s="5" t="n">
        <v>630</v>
      </c>
      <c r="G30" s="5" t="n">
        <v>189</v>
      </c>
      <c r="H30" s="5" t="n">
        <v>168</v>
      </c>
      <c r="I30" s="5" t="n">
        <v>72</v>
      </c>
      <c r="J30" s="5" t="n">
        <v>756</v>
      </c>
      <c r="K30" s="5" t="n">
        <v>756</v>
      </c>
      <c r="L30" s="5" t="n">
        <v>3e-06</v>
      </c>
      <c r="M30" s="5" t="n">
        <v>0.008</v>
      </c>
      <c r="N30" s="5" t="n">
        <v>0.8</v>
      </c>
      <c r="O30" s="5" t="n">
        <v>30</v>
      </c>
      <c r="P30" s="5" t="n">
        <v>30</v>
      </c>
      <c r="Q30" s="5" t="n">
        <v>0</v>
      </c>
      <c r="R30" s="5" t="n">
        <v>0</v>
      </c>
      <c r="S30" s="5" t="n">
        <v>0</v>
      </c>
      <c r="T30" s="5" t="n">
        <v>0</v>
      </c>
      <c r="U30" s="8" t="n">
        <v>1</v>
      </c>
      <c r="V30" s="8" t="n">
        <v>189</v>
      </c>
      <c r="W30" s="8" t="n">
        <v>8.4</v>
      </c>
      <c r="X30" s="8" t="n">
        <v>168</v>
      </c>
      <c r="Y30" s="8" t="n">
        <v>189</v>
      </c>
      <c r="Z30" s="8" t="n">
        <v>630</v>
      </c>
      <c r="AA30" s="8" t="n">
        <v>0.0001</v>
      </c>
      <c r="AB30" s="8" t="n">
        <v>0.00015</v>
      </c>
      <c r="AC30" s="8" t="n">
        <v>1.5e-05</v>
      </c>
      <c r="AD30" s="2" t="inlineStr">
        <is>
          <t>原值保留；补值为算例假设，见字段说明</t>
        </is>
      </c>
    </row>
    <row r="31" ht="34" customHeight="1">
      <c r="A31" s="6" t="inlineStr">
        <is>
          <t>TH_0030</t>
        </is>
      </c>
      <c r="B31" s="6" t="inlineStr">
        <is>
          <t>930632000000000000</t>
        </is>
      </c>
      <c r="C31" s="5" t="inlineStr">
        <is>
          <t>苏常厂_220.0机_Jm</t>
        </is>
      </c>
      <c r="D31" s="5" t="n">
        <v>1</v>
      </c>
      <c r="E31" s="6" t="inlineStr">
        <is>
          <t>93043200000000</t>
        </is>
      </c>
      <c r="F31" s="5" t="n">
        <v>630</v>
      </c>
      <c r="G31" s="5" t="n">
        <v>189</v>
      </c>
      <c r="H31" s="5" t="n">
        <v>168</v>
      </c>
      <c r="I31" s="5" t="n">
        <v>72</v>
      </c>
      <c r="J31" s="5" t="n">
        <v>756</v>
      </c>
      <c r="K31" s="5" t="n">
        <v>756</v>
      </c>
      <c r="L31" s="5" t="n">
        <v>3e-06</v>
      </c>
      <c r="M31" s="5" t="n">
        <v>0.008</v>
      </c>
      <c r="N31" s="5" t="n">
        <v>0.8</v>
      </c>
      <c r="O31" s="5" t="n">
        <v>30</v>
      </c>
      <c r="P31" s="5" t="n">
        <v>30</v>
      </c>
      <c r="Q31" s="5" t="n">
        <v>0</v>
      </c>
      <c r="R31" s="5" t="n">
        <v>0</v>
      </c>
      <c r="S31" s="5" t="n">
        <v>0</v>
      </c>
      <c r="T31" s="5" t="n">
        <v>0</v>
      </c>
      <c r="U31" s="8" t="n">
        <v>1</v>
      </c>
      <c r="V31" s="8" t="n">
        <v>189</v>
      </c>
      <c r="W31" s="8" t="n">
        <v>8.4</v>
      </c>
      <c r="X31" s="8" t="n">
        <v>168</v>
      </c>
      <c r="Y31" s="8" t="n">
        <v>189</v>
      </c>
      <c r="Z31" s="8" t="n">
        <v>630</v>
      </c>
      <c r="AA31" s="8" t="n">
        <v>0.0001</v>
      </c>
      <c r="AB31" s="8" t="n">
        <v>0.00015</v>
      </c>
      <c r="AC31" s="8" t="n">
        <v>1.5e-05</v>
      </c>
      <c r="AD31" s="2" t="inlineStr">
        <is>
          <t>原值保留；补值为算例假设，见字段说明</t>
        </is>
      </c>
    </row>
    <row r="32" ht="34" customHeight="1">
      <c r="A32" s="6" t="inlineStr">
        <is>
          <t>TH_0031</t>
        </is>
      </c>
      <c r="B32" s="6" t="inlineStr">
        <is>
          <t>930632000000000000</t>
        </is>
      </c>
      <c r="C32" s="5" t="inlineStr">
        <is>
          <t>常州非统调</t>
        </is>
      </c>
      <c r="D32" s="5" t="n">
        <v>1</v>
      </c>
      <c r="E32" s="6" t="inlineStr">
        <is>
          <t>93043200000000</t>
        </is>
      </c>
      <c r="F32" s="5" t="n">
        <v>120</v>
      </c>
      <c r="G32" s="5" t="n">
        <v>72</v>
      </c>
      <c r="H32" s="5" t="n">
        <v>168</v>
      </c>
      <c r="I32" s="5" t="n">
        <v>72</v>
      </c>
      <c r="J32" s="5" t="n">
        <v>144</v>
      </c>
      <c r="K32" s="5" t="n">
        <v>144</v>
      </c>
      <c r="L32" s="5" t="n">
        <v>5e-06</v>
      </c>
      <c r="M32" s="5" t="n">
        <v>0.01</v>
      </c>
      <c r="N32" s="5" t="n">
        <v>0.5</v>
      </c>
      <c r="O32" s="5" t="n">
        <v>8</v>
      </c>
      <c r="P32" s="5" t="n">
        <v>8</v>
      </c>
      <c r="Q32" s="5" t="n">
        <v>0</v>
      </c>
      <c r="R32" s="5" t="n">
        <v>0</v>
      </c>
      <c r="S32" s="5" t="n">
        <v>0</v>
      </c>
      <c r="T32" s="5" t="n">
        <v>0</v>
      </c>
      <c r="U32" s="8" t="n">
        <v>1</v>
      </c>
      <c r="V32" s="8" t="n">
        <v>72</v>
      </c>
      <c r="W32" s="8" t="n">
        <v>8.4</v>
      </c>
      <c r="X32" s="8" t="n">
        <v>168</v>
      </c>
      <c r="Y32" s="8" t="n">
        <v>72</v>
      </c>
      <c r="Z32" s="8" t="n">
        <v>120</v>
      </c>
      <c r="AA32" s="8" t="n">
        <v>0.0001</v>
      </c>
      <c r="AB32" s="8" t="n">
        <v>0.00015</v>
      </c>
      <c r="AC32" s="8" t="n">
        <v>1.5e-05</v>
      </c>
      <c r="AD32" s="2" t="inlineStr">
        <is>
          <t>原值保留；补值为算例假设，见字段说明</t>
        </is>
      </c>
    </row>
    <row r="33" ht="34" customHeight="1">
      <c r="A33" s="6" t="inlineStr">
        <is>
          <t>TH_0032</t>
        </is>
      </c>
      <c r="B33" s="6" t="inlineStr">
        <is>
          <t>930632000000000000</t>
        </is>
      </c>
      <c r="C33" s="5" t="inlineStr">
        <is>
          <t>苏利五G127.0机_JM</t>
        </is>
      </c>
      <c r="D33" s="5" t="n">
        <v>2</v>
      </c>
      <c r="E33" s="6" t="inlineStr">
        <is>
          <t>93043200000000</t>
        </is>
      </c>
      <c r="F33" s="5" t="n">
        <v>1000</v>
      </c>
      <c r="G33" s="5" t="n">
        <v>300</v>
      </c>
      <c r="H33" s="5" t="n">
        <v>168</v>
      </c>
      <c r="I33" s="5" t="n">
        <v>72</v>
      </c>
      <c r="J33" s="5" t="n">
        <v>1200</v>
      </c>
      <c r="K33" s="5" t="n">
        <v>1200</v>
      </c>
      <c r="L33" s="5" t="n">
        <v>3e-06</v>
      </c>
      <c r="M33" s="5" t="n">
        <v>0.008</v>
      </c>
      <c r="N33" s="5" t="n">
        <v>0.8</v>
      </c>
      <c r="O33" s="5" t="n">
        <v>30</v>
      </c>
      <c r="P33" s="5" t="n">
        <v>30</v>
      </c>
      <c r="Q33" s="5" t="n">
        <v>0</v>
      </c>
      <c r="R33" s="5" t="n">
        <v>0</v>
      </c>
      <c r="S33" s="5" t="n">
        <v>0</v>
      </c>
      <c r="T33" s="5" t="n">
        <v>0</v>
      </c>
      <c r="U33" s="8" t="n">
        <v>1</v>
      </c>
      <c r="V33" s="8" t="n">
        <v>300</v>
      </c>
      <c r="W33" s="8" t="n">
        <v>8.4</v>
      </c>
      <c r="X33" s="8" t="n">
        <v>168</v>
      </c>
      <c r="Y33" s="8" t="n">
        <v>300</v>
      </c>
      <c r="Z33" s="8" t="n">
        <v>1000</v>
      </c>
      <c r="AA33" s="8" t="n">
        <v>0.0001</v>
      </c>
      <c r="AB33" s="8" t="n">
        <v>0.00015</v>
      </c>
      <c r="AC33" s="8" t="n">
        <v>1.5e-05</v>
      </c>
      <c r="AD33" s="2" t="inlineStr">
        <is>
          <t>原值保留；补值为算例假设，见字段说明</t>
        </is>
      </c>
    </row>
    <row r="34" ht="34" customHeight="1">
      <c r="A34" s="6" t="inlineStr">
        <is>
          <t>TH_0033</t>
        </is>
      </c>
      <c r="B34" s="6" t="inlineStr">
        <is>
          <t>930632000000000000</t>
        </is>
      </c>
      <c r="C34" s="5" t="inlineStr">
        <is>
          <t>苏利五G227.0机_Jm</t>
        </is>
      </c>
      <c r="D34" s="5" t="n">
        <v>2</v>
      </c>
      <c r="E34" s="6" t="inlineStr">
        <is>
          <t>93043200000000</t>
        </is>
      </c>
      <c r="F34" s="5" t="n">
        <v>1000</v>
      </c>
      <c r="G34" s="5" t="n">
        <v>300</v>
      </c>
      <c r="H34" s="5" t="n">
        <v>168</v>
      </c>
      <c r="I34" s="5" t="n">
        <v>72</v>
      </c>
      <c r="J34" s="5" t="n">
        <v>1200</v>
      </c>
      <c r="K34" s="5" t="n">
        <v>1200</v>
      </c>
      <c r="L34" s="5" t="n">
        <v>3e-06</v>
      </c>
      <c r="M34" s="5" t="n">
        <v>0.008</v>
      </c>
      <c r="N34" s="5" t="n">
        <v>0.8</v>
      </c>
      <c r="O34" s="5" t="n">
        <v>30</v>
      </c>
      <c r="P34" s="5" t="n">
        <v>30</v>
      </c>
      <c r="Q34" s="5" t="n">
        <v>0</v>
      </c>
      <c r="R34" s="5" t="n">
        <v>0</v>
      </c>
      <c r="S34" s="5" t="n">
        <v>0</v>
      </c>
      <c r="T34" s="5" t="n">
        <v>0</v>
      </c>
      <c r="U34" s="8" t="n">
        <v>1</v>
      </c>
      <c r="V34" s="8" t="n">
        <v>300</v>
      </c>
      <c r="W34" s="8" t="n">
        <v>8.4</v>
      </c>
      <c r="X34" s="8" t="n">
        <v>168</v>
      </c>
      <c r="Y34" s="8" t="n">
        <v>300</v>
      </c>
      <c r="Z34" s="8" t="n">
        <v>1000</v>
      </c>
      <c r="AA34" s="8" t="n">
        <v>0.0001</v>
      </c>
      <c r="AB34" s="8" t="n">
        <v>0.00015</v>
      </c>
      <c r="AC34" s="8" t="n">
        <v>1.5e-05</v>
      </c>
      <c r="AD34" s="2" t="inlineStr">
        <is>
          <t>原值保留；补值为算例假设，见字段说明</t>
        </is>
      </c>
    </row>
    <row r="35" ht="34" customHeight="1">
      <c r="A35" s="6" t="inlineStr">
        <is>
          <t>TH_0034</t>
        </is>
      </c>
      <c r="B35" s="6" t="inlineStr">
        <is>
          <t>930632000000000000</t>
        </is>
      </c>
      <c r="C35" s="5" t="inlineStr">
        <is>
          <t>无锡非统调</t>
        </is>
      </c>
      <c r="D35" s="5" t="n">
        <v>2</v>
      </c>
      <c r="E35" s="6" t="inlineStr">
        <is>
          <t>93043200000000</t>
        </is>
      </c>
      <c r="F35" s="5" t="n">
        <v>120</v>
      </c>
      <c r="G35" s="5" t="n">
        <v>72</v>
      </c>
      <c r="H35" s="5" t="n">
        <v>168</v>
      </c>
      <c r="I35" s="5" t="n">
        <v>72</v>
      </c>
      <c r="J35" s="5" t="n">
        <v>144</v>
      </c>
      <c r="K35" s="5" t="n">
        <v>144</v>
      </c>
      <c r="L35" s="5" t="n">
        <v>5e-06</v>
      </c>
      <c r="M35" s="5" t="n">
        <v>0.01</v>
      </c>
      <c r="N35" s="5" t="n">
        <v>0.5</v>
      </c>
      <c r="O35" s="5" t="n">
        <v>8</v>
      </c>
      <c r="P35" s="5" t="n">
        <v>8</v>
      </c>
      <c r="Q35" s="5" t="n">
        <v>0</v>
      </c>
      <c r="R35" s="5" t="n">
        <v>0</v>
      </c>
      <c r="S35" s="5" t="n">
        <v>0</v>
      </c>
      <c r="T35" s="5" t="n">
        <v>0</v>
      </c>
      <c r="U35" s="8" t="n">
        <v>1</v>
      </c>
      <c r="V35" s="8" t="n">
        <v>72</v>
      </c>
      <c r="W35" s="8" t="n">
        <v>8.4</v>
      </c>
      <c r="X35" s="8" t="n">
        <v>168</v>
      </c>
      <c r="Y35" s="8" t="n">
        <v>72</v>
      </c>
      <c r="Z35" s="8" t="n">
        <v>120</v>
      </c>
      <c r="AA35" s="8" t="n">
        <v>0.0001</v>
      </c>
      <c r="AB35" s="8" t="n">
        <v>0.00015</v>
      </c>
      <c r="AC35" s="8" t="n">
        <v>1.5e-05</v>
      </c>
      <c r="AD35" s="2" t="inlineStr">
        <is>
          <t>原值保留；补值为算例假设，见字段说明</t>
        </is>
      </c>
    </row>
    <row r="36" ht="34" customHeight="1">
      <c r="A36" s="6" t="inlineStr">
        <is>
          <t>TH_0035</t>
        </is>
      </c>
      <c r="B36" s="6" t="inlineStr">
        <is>
          <t>930632000000000000</t>
        </is>
      </c>
      <c r="C36" s="5" t="inlineStr">
        <is>
          <t>苏望三_320.0机_Jm</t>
        </is>
      </c>
      <c r="D36" s="5" t="n">
        <v>2</v>
      </c>
      <c r="E36" s="6" t="inlineStr">
        <is>
          <t>93043200000000</t>
        </is>
      </c>
      <c r="F36" s="5" t="n">
        <v>660</v>
      </c>
      <c r="G36" s="5" t="n">
        <v>198</v>
      </c>
      <c r="H36" s="5" t="n">
        <v>168</v>
      </c>
      <c r="I36" s="5" t="n">
        <v>72</v>
      </c>
      <c r="J36" s="5" t="n">
        <v>792</v>
      </c>
      <c r="K36" s="5" t="n">
        <v>792</v>
      </c>
      <c r="L36" s="5" t="n">
        <v>3e-06</v>
      </c>
      <c r="M36" s="5" t="n">
        <v>0.008</v>
      </c>
      <c r="N36" s="5" t="n">
        <v>0.8</v>
      </c>
      <c r="O36" s="5" t="n">
        <v>30</v>
      </c>
      <c r="P36" s="5" t="n">
        <v>30</v>
      </c>
      <c r="Q36" s="5" t="n">
        <v>0</v>
      </c>
      <c r="R36" s="5" t="n">
        <v>0</v>
      </c>
      <c r="S36" s="5" t="n">
        <v>0</v>
      </c>
      <c r="T36" s="5" t="n">
        <v>0</v>
      </c>
      <c r="U36" s="8" t="n">
        <v>1</v>
      </c>
      <c r="V36" s="8" t="n">
        <v>198</v>
      </c>
      <c r="W36" s="8" t="n">
        <v>8.4</v>
      </c>
      <c r="X36" s="8" t="n">
        <v>168</v>
      </c>
      <c r="Y36" s="8" t="n">
        <v>198</v>
      </c>
      <c r="Z36" s="8" t="n">
        <v>660</v>
      </c>
      <c r="AA36" s="8" t="n">
        <v>0.0001</v>
      </c>
      <c r="AB36" s="8" t="n">
        <v>0.00015</v>
      </c>
      <c r="AC36" s="8" t="n">
        <v>1.5e-05</v>
      </c>
      <c r="AD36" s="2" t="inlineStr">
        <is>
          <t>原值保留；补值为算例假设，见字段说明</t>
        </is>
      </c>
    </row>
    <row r="37" ht="34" customHeight="1">
      <c r="A37" s="6" t="inlineStr">
        <is>
          <t>TH_0036</t>
        </is>
      </c>
      <c r="B37" s="6" t="inlineStr">
        <is>
          <t>930632000000000000</t>
        </is>
      </c>
      <c r="C37" s="5" t="inlineStr">
        <is>
          <t>苏望三_420.0机_Jm</t>
        </is>
      </c>
      <c r="D37" s="5" t="n">
        <v>2</v>
      </c>
      <c r="E37" s="6" t="inlineStr">
        <is>
          <t>93043200000000</t>
        </is>
      </c>
      <c r="F37" s="5" t="n">
        <v>660</v>
      </c>
      <c r="G37" s="5" t="n">
        <v>198</v>
      </c>
      <c r="H37" s="5" t="n">
        <v>168</v>
      </c>
      <c r="I37" s="5" t="n">
        <v>72</v>
      </c>
      <c r="J37" s="5" t="n">
        <v>792</v>
      </c>
      <c r="K37" s="5" t="n">
        <v>792</v>
      </c>
      <c r="L37" s="5" t="n">
        <v>3e-06</v>
      </c>
      <c r="M37" s="5" t="n">
        <v>0.008</v>
      </c>
      <c r="N37" s="5" t="n">
        <v>0.8</v>
      </c>
      <c r="O37" s="5" t="n">
        <v>30</v>
      </c>
      <c r="P37" s="5" t="n">
        <v>30</v>
      </c>
      <c r="Q37" s="5" t="n">
        <v>0</v>
      </c>
      <c r="R37" s="5" t="n">
        <v>0</v>
      </c>
      <c r="S37" s="5" t="n">
        <v>0</v>
      </c>
      <c r="T37" s="5" t="n">
        <v>0</v>
      </c>
      <c r="U37" s="8" t="n">
        <v>1</v>
      </c>
      <c r="V37" s="8" t="n">
        <v>198</v>
      </c>
      <c r="W37" s="8" t="n">
        <v>8.4</v>
      </c>
      <c r="X37" s="8" t="n">
        <v>168</v>
      </c>
      <c r="Y37" s="8" t="n">
        <v>198</v>
      </c>
      <c r="Z37" s="8" t="n">
        <v>660</v>
      </c>
      <c r="AA37" s="8" t="n">
        <v>0.0001</v>
      </c>
      <c r="AB37" s="8" t="n">
        <v>0.00015</v>
      </c>
      <c r="AC37" s="8" t="n">
        <v>1.5e-05</v>
      </c>
      <c r="AD37" s="2" t="inlineStr">
        <is>
          <t>原值保留；补值为算例假设，见字段说明</t>
        </is>
      </c>
    </row>
    <row r="38" ht="34" customHeight="1">
      <c r="A38" s="6" t="inlineStr">
        <is>
          <t>TH_0037</t>
        </is>
      </c>
      <c r="B38" s="6" t="inlineStr">
        <is>
          <t>930632000000000000</t>
        </is>
      </c>
      <c r="C38" s="5" t="inlineStr">
        <is>
          <t>苏利二_520.0机_JM</t>
        </is>
      </c>
      <c r="D38" s="5" t="n">
        <v>2</v>
      </c>
      <c r="E38" s="6" t="inlineStr">
        <is>
          <t>93043200000000</t>
        </is>
      </c>
      <c r="F38" s="5" t="n">
        <v>650</v>
      </c>
      <c r="G38" s="5" t="n">
        <v>195</v>
      </c>
      <c r="H38" s="5" t="n">
        <v>168</v>
      </c>
      <c r="I38" s="5" t="n">
        <v>72</v>
      </c>
      <c r="J38" s="5" t="n">
        <v>780</v>
      </c>
      <c r="K38" s="5" t="n">
        <v>780</v>
      </c>
      <c r="L38" s="5" t="n">
        <v>3e-06</v>
      </c>
      <c r="M38" s="5" t="n">
        <v>0.008</v>
      </c>
      <c r="N38" s="5" t="n">
        <v>0.8</v>
      </c>
      <c r="O38" s="5" t="n">
        <v>30</v>
      </c>
      <c r="P38" s="5" t="n">
        <v>30</v>
      </c>
      <c r="Q38" s="5" t="n">
        <v>0</v>
      </c>
      <c r="R38" s="5" t="n">
        <v>0</v>
      </c>
      <c r="S38" s="5" t="n">
        <v>0</v>
      </c>
      <c r="T38" s="5" t="n">
        <v>0</v>
      </c>
      <c r="U38" s="8" t="n">
        <v>1</v>
      </c>
      <c r="V38" s="8" t="n">
        <v>195</v>
      </c>
      <c r="W38" s="8" t="n">
        <v>8.4</v>
      </c>
      <c r="X38" s="8" t="n">
        <v>168</v>
      </c>
      <c r="Y38" s="8" t="n">
        <v>195</v>
      </c>
      <c r="Z38" s="8" t="n">
        <v>650</v>
      </c>
      <c r="AA38" s="8" t="n">
        <v>0.0001</v>
      </c>
      <c r="AB38" s="8" t="n">
        <v>0.00015</v>
      </c>
      <c r="AC38" s="8" t="n">
        <v>1.5e-05</v>
      </c>
      <c r="AD38" s="2" t="inlineStr">
        <is>
          <t>原值保留；补值为算例假设，见字段说明</t>
        </is>
      </c>
    </row>
    <row r="39" ht="34" customHeight="1">
      <c r="A39" s="6" t="inlineStr">
        <is>
          <t>TH_0038</t>
        </is>
      </c>
      <c r="B39" s="6" t="inlineStr">
        <is>
          <t>930632000000000000</t>
        </is>
      </c>
      <c r="C39" s="5" t="inlineStr">
        <is>
          <t>苏利二_620.0机_JM</t>
        </is>
      </c>
      <c r="D39" s="5" t="n">
        <v>2</v>
      </c>
      <c r="E39" s="6" t="inlineStr">
        <is>
          <t>93043200000000</t>
        </is>
      </c>
      <c r="F39" s="5" t="n">
        <v>650</v>
      </c>
      <c r="G39" s="5" t="n">
        <v>195</v>
      </c>
      <c r="H39" s="5" t="n">
        <v>168</v>
      </c>
      <c r="I39" s="5" t="n">
        <v>72</v>
      </c>
      <c r="J39" s="5" t="n">
        <v>780</v>
      </c>
      <c r="K39" s="5" t="n">
        <v>780</v>
      </c>
      <c r="L39" s="5" t="n">
        <v>3e-06</v>
      </c>
      <c r="M39" s="5" t="n">
        <v>0.008</v>
      </c>
      <c r="N39" s="5" t="n">
        <v>0.8</v>
      </c>
      <c r="O39" s="5" t="n">
        <v>30</v>
      </c>
      <c r="P39" s="5" t="n">
        <v>30</v>
      </c>
      <c r="Q39" s="5" t="n">
        <v>0</v>
      </c>
      <c r="R39" s="5" t="n">
        <v>0</v>
      </c>
      <c r="S39" s="5" t="n">
        <v>0</v>
      </c>
      <c r="T39" s="5" t="n">
        <v>0</v>
      </c>
      <c r="U39" s="8" t="n">
        <v>1</v>
      </c>
      <c r="V39" s="8" t="n">
        <v>195</v>
      </c>
      <c r="W39" s="8" t="n">
        <v>8.4</v>
      </c>
      <c r="X39" s="8" t="n">
        <v>168</v>
      </c>
      <c r="Y39" s="8" t="n">
        <v>195</v>
      </c>
      <c r="Z39" s="8" t="n">
        <v>650</v>
      </c>
      <c r="AA39" s="8" t="n">
        <v>0.0001</v>
      </c>
      <c r="AB39" s="8" t="n">
        <v>0.00015</v>
      </c>
      <c r="AC39" s="8" t="n">
        <v>1.5e-05</v>
      </c>
      <c r="AD39" s="2" t="inlineStr">
        <is>
          <t>原值保留；补值为算例假设，见字段说明</t>
        </is>
      </c>
    </row>
    <row r="40" ht="34" customHeight="1">
      <c r="A40" s="6" t="inlineStr">
        <is>
          <t>TH_0039</t>
        </is>
      </c>
      <c r="B40" s="6" t="inlineStr">
        <is>
          <t>930632000000000000</t>
        </is>
      </c>
      <c r="C40" s="5" t="inlineStr">
        <is>
          <t>苏利二_720.0机_JM</t>
        </is>
      </c>
      <c r="D40" s="5" t="n">
        <v>2</v>
      </c>
      <c r="E40" s="6" t="inlineStr">
        <is>
          <t>93043200000000</t>
        </is>
      </c>
      <c r="F40" s="5" t="n">
        <v>650</v>
      </c>
      <c r="G40" s="5" t="n">
        <v>195</v>
      </c>
      <c r="H40" s="5" t="n">
        <v>168</v>
      </c>
      <c r="I40" s="5" t="n">
        <v>72</v>
      </c>
      <c r="J40" s="5" t="n">
        <v>780</v>
      </c>
      <c r="K40" s="5" t="n">
        <v>780</v>
      </c>
      <c r="L40" s="5" t="n">
        <v>3e-06</v>
      </c>
      <c r="M40" s="5" t="n">
        <v>0.008</v>
      </c>
      <c r="N40" s="5" t="n">
        <v>0.8</v>
      </c>
      <c r="O40" s="5" t="n">
        <v>30</v>
      </c>
      <c r="P40" s="5" t="n">
        <v>30</v>
      </c>
      <c r="Q40" s="5" t="n">
        <v>0</v>
      </c>
      <c r="R40" s="5" t="n">
        <v>0</v>
      </c>
      <c r="S40" s="5" t="n">
        <v>0</v>
      </c>
      <c r="T40" s="5" t="n">
        <v>0</v>
      </c>
      <c r="U40" s="8" t="n">
        <v>1</v>
      </c>
      <c r="V40" s="8" t="n">
        <v>195</v>
      </c>
      <c r="W40" s="8" t="n">
        <v>8.4</v>
      </c>
      <c r="X40" s="8" t="n">
        <v>168</v>
      </c>
      <c r="Y40" s="8" t="n">
        <v>195</v>
      </c>
      <c r="Z40" s="8" t="n">
        <v>650</v>
      </c>
      <c r="AA40" s="8" t="n">
        <v>0.0001</v>
      </c>
      <c r="AB40" s="8" t="n">
        <v>0.00015</v>
      </c>
      <c r="AC40" s="8" t="n">
        <v>1.5e-05</v>
      </c>
      <c r="AD40" s="2" t="inlineStr">
        <is>
          <t>原值保留；补值为算例假设，见字段说明</t>
        </is>
      </c>
    </row>
    <row r="41" ht="34" customHeight="1">
      <c r="A41" s="6" t="inlineStr">
        <is>
          <t>TH_0040</t>
        </is>
      </c>
      <c r="B41" s="6" t="inlineStr">
        <is>
          <t>930632000000000000</t>
        </is>
      </c>
      <c r="C41" s="5" t="inlineStr">
        <is>
          <t>苏利二_820.0机_JM</t>
        </is>
      </c>
      <c r="D41" s="5" t="n">
        <v>2</v>
      </c>
      <c r="E41" s="6" t="inlineStr">
        <is>
          <t>93043200000000</t>
        </is>
      </c>
      <c r="F41" s="5" t="n">
        <v>650</v>
      </c>
      <c r="G41" s="5" t="n">
        <v>195</v>
      </c>
      <c r="H41" s="5" t="n">
        <v>168</v>
      </c>
      <c r="I41" s="5" t="n">
        <v>72</v>
      </c>
      <c r="J41" s="5" t="n">
        <v>780</v>
      </c>
      <c r="K41" s="5" t="n">
        <v>780</v>
      </c>
      <c r="L41" s="5" t="n">
        <v>3e-06</v>
      </c>
      <c r="M41" s="5" t="n">
        <v>0.008</v>
      </c>
      <c r="N41" s="5" t="n">
        <v>0.8</v>
      </c>
      <c r="O41" s="5" t="n">
        <v>30</v>
      </c>
      <c r="P41" s="5" t="n">
        <v>30</v>
      </c>
      <c r="Q41" s="5" t="n">
        <v>0</v>
      </c>
      <c r="R41" s="5" t="n">
        <v>0</v>
      </c>
      <c r="S41" s="5" t="n">
        <v>0</v>
      </c>
      <c r="T41" s="5" t="n">
        <v>0</v>
      </c>
      <c r="U41" s="8" t="n">
        <v>1</v>
      </c>
      <c r="V41" s="8" t="n">
        <v>195</v>
      </c>
      <c r="W41" s="8" t="n">
        <v>8.4</v>
      </c>
      <c r="X41" s="8" t="n">
        <v>168</v>
      </c>
      <c r="Y41" s="8" t="n">
        <v>195</v>
      </c>
      <c r="Z41" s="8" t="n">
        <v>650</v>
      </c>
      <c r="AA41" s="8" t="n">
        <v>0.0001</v>
      </c>
      <c r="AB41" s="8" t="n">
        <v>0.00015</v>
      </c>
      <c r="AC41" s="8" t="n">
        <v>1.5e-05</v>
      </c>
      <c r="AD41" s="2" t="inlineStr">
        <is>
          <t>原值保留；补值为算例假设，见字段说明</t>
        </is>
      </c>
    </row>
    <row r="42" ht="34" customHeight="1">
      <c r="A42" s="6" t="inlineStr">
        <is>
          <t>TH_0041</t>
        </is>
      </c>
      <c r="B42" s="6" t="inlineStr">
        <is>
          <t>930632000000000000</t>
        </is>
      </c>
      <c r="C42" s="5" t="inlineStr">
        <is>
          <t>苏利港_320.0机_Jm</t>
        </is>
      </c>
      <c r="D42" s="5" t="n">
        <v>2</v>
      </c>
      <c r="E42" s="6" t="inlineStr">
        <is>
          <t>93043200000000</t>
        </is>
      </c>
      <c r="F42" s="5" t="n">
        <v>370</v>
      </c>
      <c r="G42" s="5" t="n">
        <v>111</v>
      </c>
      <c r="H42" s="5" t="n">
        <v>168</v>
      </c>
      <c r="I42" s="5" t="n">
        <v>72</v>
      </c>
      <c r="J42" s="5" t="n">
        <v>444</v>
      </c>
      <c r="K42" s="5" t="n">
        <v>444</v>
      </c>
      <c r="L42" s="5" t="n">
        <v>5e-06</v>
      </c>
      <c r="M42" s="5" t="n">
        <v>0.01</v>
      </c>
      <c r="N42" s="5" t="n">
        <v>0.5</v>
      </c>
      <c r="O42" s="5" t="n">
        <v>8</v>
      </c>
      <c r="P42" s="5" t="n">
        <v>8</v>
      </c>
      <c r="Q42" s="5" t="n">
        <v>0</v>
      </c>
      <c r="R42" s="5" t="n">
        <v>0</v>
      </c>
      <c r="S42" s="5" t="n">
        <v>0</v>
      </c>
      <c r="T42" s="5" t="n">
        <v>0</v>
      </c>
      <c r="U42" s="8" t="n">
        <v>1</v>
      </c>
      <c r="V42" s="8" t="n">
        <v>111</v>
      </c>
      <c r="W42" s="8" t="n">
        <v>8.4</v>
      </c>
      <c r="X42" s="8" t="n">
        <v>168</v>
      </c>
      <c r="Y42" s="8" t="n">
        <v>111</v>
      </c>
      <c r="Z42" s="8" t="n">
        <v>370</v>
      </c>
      <c r="AA42" s="8" t="n">
        <v>0.0001</v>
      </c>
      <c r="AB42" s="8" t="n">
        <v>0.00015</v>
      </c>
      <c r="AC42" s="8" t="n">
        <v>1.5e-05</v>
      </c>
      <c r="AD42" s="2" t="inlineStr">
        <is>
          <t>原值保留；补值为算例假设，见字段说明</t>
        </is>
      </c>
    </row>
    <row r="43" ht="34" customHeight="1">
      <c r="A43" s="6" t="inlineStr">
        <is>
          <t>TH_0042</t>
        </is>
      </c>
      <c r="B43" s="6" t="inlineStr">
        <is>
          <t>930632000000000000</t>
        </is>
      </c>
      <c r="C43" s="5" t="inlineStr">
        <is>
          <t>苏利港_420.0机_Jm</t>
        </is>
      </c>
      <c r="D43" s="5" t="n">
        <v>2</v>
      </c>
      <c r="E43" s="6" t="inlineStr">
        <is>
          <t>93043200000000</t>
        </is>
      </c>
      <c r="F43" s="5" t="n">
        <v>370</v>
      </c>
      <c r="G43" s="5" t="n">
        <v>111</v>
      </c>
      <c r="H43" s="5" t="n">
        <v>168</v>
      </c>
      <c r="I43" s="5" t="n">
        <v>72</v>
      </c>
      <c r="J43" s="5" t="n">
        <v>444</v>
      </c>
      <c r="K43" s="5" t="n">
        <v>444</v>
      </c>
      <c r="L43" s="5" t="n">
        <v>5e-06</v>
      </c>
      <c r="M43" s="5" t="n">
        <v>0.01</v>
      </c>
      <c r="N43" s="5" t="n">
        <v>0.5</v>
      </c>
      <c r="O43" s="5" t="n">
        <v>8</v>
      </c>
      <c r="P43" s="5" t="n">
        <v>8</v>
      </c>
      <c r="Q43" s="5" t="n">
        <v>0</v>
      </c>
      <c r="R43" s="5" t="n">
        <v>0</v>
      </c>
      <c r="S43" s="5" t="n">
        <v>0</v>
      </c>
      <c r="T43" s="5" t="n">
        <v>0</v>
      </c>
      <c r="U43" s="8" t="n">
        <v>1</v>
      </c>
      <c r="V43" s="8" t="n">
        <v>111</v>
      </c>
      <c r="W43" s="8" t="n">
        <v>8.4</v>
      </c>
      <c r="X43" s="8" t="n">
        <v>168</v>
      </c>
      <c r="Y43" s="8" t="n">
        <v>111</v>
      </c>
      <c r="Z43" s="8" t="n">
        <v>370</v>
      </c>
      <c r="AA43" s="8" t="n">
        <v>0.0001</v>
      </c>
      <c r="AB43" s="8" t="n">
        <v>0.00015</v>
      </c>
      <c r="AC43" s="8" t="n">
        <v>1.5e-05</v>
      </c>
      <c r="AD43" s="2" t="inlineStr">
        <is>
          <t>原值保留；补值为算例假设，见字段说明</t>
        </is>
      </c>
    </row>
    <row r="44" ht="34" customHeight="1">
      <c r="A44" s="6" t="inlineStr">
        <is>
          <t>TH_0043</t>
        </is>
      </c>
      <c r="B44" s="6" t="inlineStr">
        <is>
          <t>930632000000000000</t>
        </is>
      </c>
      <c r="C44" s="5" t="inlineStr">
        <is>
          <t>苏夏港_520.0机_Jm</t>
        </is>
      </c>
      <c r="D44" s="5" t="n">
        <v>2</v>
      </c>
      <c r="E44" s="6" t="inlineStr">
        <is>
          <t>93043200000000</t>
        </is>
      </c>
      <c r="F44" s="5" t="n">
        <v>330</v>
      </c>
      <c r="G44" s="5" t="n">
        <v>99</v>
      </c>
      <c r="H44" s="5" t="n">
        <v>168</v>
      </c>
      <c r="I44" s="5" t="n">
        <v>72</v>
      </c>
      <c r="J44" s="5" t="n">
        <v>396</v>
      </c>
      <c r="K44" s="5" t="n">
        <v>396</v>
      </c>
      <c r="L44" s="5" t="n">
        <v>5e-06</v>
      </c>
      <c r="M44" s="5" t="n">
        <v>0.01</v>
      </c>
      <c r="N44" s="5" t="n">
        <v>0.5</v>
      </c>
      <c r="O44" s="5" t="n">
        <v>8</v>
      </c>
      <c r="P44" s="5" t="n">
        <v>8</v>
      </c>
      <c r="Q44" s="5" t="n">
        <v>0</v>
      </c>
      <c r="R44" s="5" t="n">
        <v>0</v>
      </c>
      <c r="S44" s="5" t="n">
        <v>0</v>
      </c>
      <c r="T44" s="5" t="n">
        <v>0</v>
      </c>
      <c r="U44" s="8" t="n">
        <v>1</v>
      </c>
      <c r="V44" s="8" t="n">
        <v>99</v>
      </c>
      <c r="W44" s="8" t="n">
        <v>8.4</v>
      </c>
      <c r="X44" s="8" t="n">
        <v>168</v>
      </c>
      <c r="Y44" s="8" t="n">
        <v>99</v>
      </c>
      <c r="Z44" s="8" t="n">
        <v>330</v>
      </c>
      <c r="AA44" s="8" t="n">
        <v>0.0001</v>
      </c>
      <c r="AB44" s="8" t="n">
        <v>0.00015</v>
      </c>
      <c r="AC44" s="8" t="n">
        <v>1.5e-05</v>
      </c>
      <c r="AD44" s="2" t="inlineStr">
        <is>
          <t>原值保留；补值为算例假设，见字段说明</t>
        </is>
      </c>
    </row>
    <row r="45" ht="34" customHeight="1">
      <c r="A45" s="6" t="inlineStr">
        <is>
          <t>TH_0044</t>
        </is>
      </c>
      <c r="B45" s="6" t="inlineStr">
        <is>
          <t>930632000000000000</t>
        </is>
      </c>
      <c r="C45" s="5" t="inlineStr">
        <is>
          <t>苏夏港_620.0机_Jm</t>
        </is>
      </c>
      <c r="D45" s="5" t="n">
        <v>2</v>
      </c>
      <c r="E45" s="6" t="inlineStr">
        <is>
          <t>93043200000000</t>
        </is>
      </c>
      <c r="F45" s="5" t="n">
        <v>330</v>
      </c>
      <c r="G45" s="5" t="n">
        <v>99</v>
      </c>
      <c r="H45" s="5" t="n">
        <v>168</v>
      </c>
      <c r="I45" s="5" t="n">
        <v>72</v>
      </c>
      <c r="J45" s="5" t="n">
        <v>396</v>
      </c>
      <c r="K45" s="5" t="n">
        <v>396</v>
      </c>
      <c r="L45" s="5" t="n">
        <v>5e-06</v>
      </c>
      <c r="M45" s="5" t="n">
        <v>0.01</v>
      </c>
      <c r="N45" s="5" t="n">
        <v>0.5</v>
      </c>
      <c r="O45" s="5" t="n">
        <v>8</v>
      </c>
      <c r="P45" s="5" t="n">
        <v>8</v>
      </c>
      <c r="Q45" s="5" t="n">
        <v>0</v>
      </c>
      <c r="R45" s="5" t="n">
        <v>0</v>
      </c>
      <c r="S45" s="5" t="n">
        <v>0</v>
      </c>
      <c r="T45" s="5" t="n">
        <v>0</v>
      </c>
      <c r="U45" s="8" t="n">
        <v>1</v>
      </c>
      <c r="V45" s="8" t="n">
        <v>99</v>
      </c>
      <c r="W45" s="8" t="n">
        <v>8.4</v>
      </c>
      <c r="X45" s="8" t="n">
        <v>168</v>
      </c>
      <c r="Y45" s="8" t="n">
        <v>99</v>
      </c>
      <c r="Z45" s="8" t="n">
        <v>330</v>
      </c>
      <c r="AA45" s="8" t="n">
        <v>0.0001</v>
      </c>
      <c r="AB45" s="8" t="n">
        <v>0.00015</v>
      </c>
      <c r="AC45" s="8" t="n">
        <v>1.5e-05</v>
      </c>
      <c r="AD45" s="2" t="inlineStr">
        <is>
          <t>原值保留；补值为算例假设，见字段说明</t>
        </is>
      </c>
    </row>
    <row r="46" ht="34" customHeight="1">
      <c r="A46" s="6" t="inlineStr">
        <is>
          <t>TH_0045</t>
        </is>
      </c>
      <c r="B46" s="6" t="inlineStr">
        <is>
          <t>930632000000000000</t>
        </is>
      </c>
      <c r="C46" s="5" t="inlineStr">
        <is>
          <t>苏夏港_315.8机_Jm</t>
        </is>
      </c>
      <c r="D46" s="5" t="n">
        <v>2</v>
      </c>
      <c r="E46" s="6" t="inlineStr">
        <is>
          <t>93043200000000</t>
        </is>
      </c>
      <c r="F46" s="5" t="n">
        <v>140</v>
      </c>
      <c r="G46" s="5" t="n">
        <v>63</v>
      </c>
      <c r="H46" s="5" t="n">
        <v>168</v>
      </c>
      <c r="I46" s="5" t="n">
        <v>72</v>
      </c>
      <c r="J46" s="5" t="n">
        <v>168</v>
      </c>
      <c r="K46" s="5" t="n">
        <v>168</v>
      </c>
      <c r="L46" s="5" t="n">
        <v>8e-06</v>
      </c>
      <c r="M46" s="5" t="n">
        <v>0.012</v>
      </c>
      <c r="N46" s="5" t="n">
        <v>0.3</v>
      </c>
      <c r="O46" s="5" t="n">
        <v>3</v>
      </c>
      <c r="P46" s="5" t="n">
        <v>3</v>
      </c>
      <c r="Q46" s="5" t="n">
        <v>0</v>
      </c>
      <c r="R46" s="5" t="n">
        <v>0</v>
      </c>
      <c r="S46" s="5" t="n">
        <v>0</v>
      </c>
      <c r="T46" s="5" t="n">
        <v>0</v>
      </c>
      <c r="U46" s="8" t="n">
        <v>1</v>
      </c>
      <c r="V46" s="8" t="n">
        <v>63</v>
      </c>
      <c r="W46" s="8" t="n">
        <v>8.4</v>
      </c>
      <c r="X46" s="8" t="n">
        <v>168</v>
      </c>
      <c r="Y46" s="8" t="n">
        <v>63</v>
      </c>
      <c r="Z46" s="8" t="n">
        <v>140</v>
      </c>
      <c r="AA46" s="8" t="n">
        <v>0.0001</v>
      </c>
      <c r="AB46" s="8" t="n">
        <v>0.00015</v>
      </c>
      <c r="AC46" s="8" t="n">
        <v>1.5e-05</v>
      </c>
      <c r="AD46" s="2" t="inlineStr">
        <is>
          <t>原值保留；补值为算例假设，见字段说明</t>
        </is>
      </c>
    </row>
    <row r="47" ht="34" customHeight="1">
      <c r="A47" s="6" t="inlineStr">
        <is>
          <t>TH_0046</t>
        </is>
      </c>
      <c r="B47" s="6" t="inlineStr">
        <is>
          <t>930632000000000000</t>
        </is>
      </c>
      <c r="C47" s="5" t="inlineStr">
        <is>
          <t>苏夏港_415.8机_Jm</t>
        </is>
      </c>
      <c r="D47" s="5" t="n">
        <v>2</v>
      </c>
      <c r="E47" s="6" t="inlineStr">
        <is>
          <t>93043200000000</t>
        </is>
      </c>
      <c r="F47" s="5" t="n">
        <v>140</v>
      </c>
      <c r="G47" s="5" t="n">
        <v>63</v>
      </c>
      <c r="H47" s="5" t="n">
        <v>168</v>
      </c>
      <c r="I47" s="5" t="n">
        <v>72</v>
      </c>
      <c r="J47" s="5" t="n">
        <v>168</v>
      </c>
      <c r="K47" s="5" t="n">
        <v>168</v>
      </c>
      <c r="L47" s="5" t="n">
        <v>8e-06</v>
      </c>
      <c r="M47" s="5" t="n">
        <v>0.012</v>
      </c>
      <c r="N47" s="5" t="n">
        <v>0.3</v>
      </c>
      <c r="O47" s="5" t="n">
        <v>3</v>
      </c>
      <c r="P47" s="5" t="n">
        <v>3</v>
      </c>
      <c r="Q47" s="5" t="n">
        <v>0</v>
      </c>
      <c r="R47" s="5" t="n">
        <v>0</v>
      </c>
      <c r="S47" s="5" t="n">
        <v>0</v>
      </c>
      <c r="T47" s="5" t="n">
        <v>0</v>
      </c>
      <c r="U47" s="8" t="n">
        <v>1</v>
      </c>
      <c r="V47" s="8" t="n">
        <v>63</v>
      </c>
      <c r="W47" s="8" t="n">
        <v>8.4</v>
      </c>
      <c r="X47" s="8" t="n">
        <v>168</v>
      </c>
      <c r="Y47" s="8" t="n">
        <v>63</v>
      </c>
      <c r="Z47" s="8" t="n">
        <v>140</v>
      </c>
      <c r="AA47" s="8" t="n">
        <v>0.0001</v>
      </c>
      <c r="AB47" s="8" t="n">
        <v>0.00015</v>
      </c>
      <c r="AC47" s="8" t="n">
        <v>1.5e-05</v>
      </c>
      <c r="AD47" s="2" t="inlineStr">
        <is>
          <t>原值保留；补值为算例假设，见字段说明</t>
        </is>
      </c>
    </row>
    <row r="48" ht="34" customHeight="1">
      <c r="A48" s="6" t="inlineStr">
        <is>
          <t>TH_0047</t>
        </is>
      </c>
      <c r="B48" s="6" t="inlineStr">
        <is>
          <t>930632000000000000</t>
        </is>
      </c>
      <c r="C48" s="5" t="inlineStr">
        <is>
          <t>苏夏港_113.8机_Jm</t>
        </is>
      </c>
      <c r="D48" s="5" t="n">
        <v>2</v>
      </c>
      <c r="E48" s="6" t="inlineStr">
        <is>
          <t>93043200000000</t>
        </is>
      </c>
      <c r="F48" s="5" t="n">
        <v>138</v>
      </c>
      <c r="G48" s="5" t="n">
        <v>62.1</v>
      </c>
      <c r="H48" s="5" t="n">
        <v>168</v>
      </c>
      <c r="I48" s="5" t="n">
        <v>72</v>
      </c>
      <c r="J48" s="5" t="n">
        <v>165.6</v>
      </c>
      <c r="K48" s="5" t="n">
        <v>165.6</v>
      </c>
      <c r="L48" s="5" t="n">
        <v>8e-06</v>
      </c>
      <c r="M48" s="5" t="n">
        <v>0.012</v>
      </c>
      <c r="N48" s="5" t="n">
        <v>0.3</v>
      </c>
      <c r="O48" s="5" t="n">
        <v>3</v>
      </c>
      <c r="P48" s="5" t="n">
        <v>3</v>
      </c>
      <c r="Q48" s="5" t="n">
        <v>0</v>
      </c>
      <c r="R48" s="5" t="n">
        <v>0</v>
      </c>
      <c r="S48" s="5" t="n">
        <v>0</v>
      </c>
      <c r="T48" s="5" t="n">
        <v>0</v>
      </c>
      <c r="U48" s="8" t="n">
        <v>1</v>
      </c>
      <c r="V48" s="8" t="n">
        <v>62.1</v>
      </c>
      <c r="W48" s="8" t="n">
        <v>8.4</v>
      </c>
      <c r="X48" s="8" t="n">
        <v>168</v>
      </c>
      <c r="Y48" s="8" t="n">
        <v>62.1</v>
      </c>
      <c r="Z48" s="8" t="n">
        <v>138</v>
      </c>
      <c r="AA48" s="8" t="n">
        <v>0.0001</v>
      </c>
      <c r="AB48" s="8" t="n">
        <v>0.00015</v>
      </c>
      <c r="AC48" s="8" t="n">
        <v>1.5e-05</v>
      </c>
      <c r="AD48" s="2" t="inlineStr">
        <is>
          <t>原值保留；补值为算例假设，见字段说明</t>
        </is>
      </c>
    </row>
    <row r="49" ht="34" customHeight="1">
      <c r="A49" s="6" t="inlineStr">
        <is>
          <t>TH_0048</t>
        </is>
      </c>
      <c r="B49" s="6" t="inlineStr">
        <is>
          <t>930632000000000000</t>
        </is>
      </c>
      <c r="C49" s="5" t="inlineStr">
        <is>
          <t>苏夏港_213.8机_Jm</t>
        </is>
      </c>
      <c r="D49" s="5" t="n">
        <v>2</v>
      </c>
      <c r="E49" s="6" t="inlineStr">
        <is>
          <t>93043200000000</t>
        </is>
      </c>
      <c r="F49" s="5" t="n">
        <v>138</v>
      </c>
      <c r="G49" s="5" t="n">
        <v>62.1</v>
      </c>
      <c r="H49" s="5" t="n">
        <v>168</v>
      </c>
      <c r="I49" s="5" t="n">
        <v>72</v>
      </c>
      <c r="J49" s="5" t="n">
        <v>165.6</v>
      </c>
      <c r="K49" s="5" t="n">
        <v>165.6</v>
      </c>
      <c r="L49" s="5" t="n">
        <v>8e-06</v>
      </c>
      <c r="M49" s="5" t="n">
        <v>0.012</v>
      </c>
      <c r="N49" s="5" t="n">
        <v>0.3</v>
      </c>
      <c r="O49" s="5" t="n">
        <v>3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  <c r="U49" s="8" t="n">
        <v>1</v>
      </c>
      <c r="V49" s="8" t="n">
        <v>62.1</v>
      </c>
      <c r="W49" s="8" t="n">
        <v>8.4</v>
      </c>
      <c r="X49" s="8" t="n">
        <v>168</v>
      </c>
      <c r="Y49" s="8" t="n">
        <v>62.1</v>
      </c>
      <c r="Z49" s="8" t="n">
        <v>138</v>
      </c>
      <c r="AA49" s="8" t="n">
        <v>0.0001</v>
      </c>
      <c r="AB49" s="8" t="n">
        <v>0.00015</v>
      </c>
      <c r="AC49" s="8" t="n">
        <v>1.5e-05</v>
      </c>
      <c r="AD49" s="2" t="inlineStr">
        <is>
          <t>原值保留；补值为算例假设，见字段说明</t>
        </is>
      </c>
    </row>
    <row r="50" ht="34" customHeight="1">
      <c r="A50" s="6" t="inlineStr">
        <is>
          <t>TH_0049</t>
        </is>
      </c>
      <c r="B50" s="6" t="inlineStr">
        <is>
          <t>930632000000000000</t>
        </is>
      </c>
      <c r="C50" s="5" t="inlineStr">
        <is>
          <t>苏宜协_515.8机_Jm</t>
        </is>
      </c>
      <c r="D50" s="5" t="n">
        <v>2</v>
      </c>
      <c r="E50" s="6" t="inlineStr">
        <is>
          <t>93043200000000</t>
        </is>
      </c>
      <c r="F50" s="5" t="n">
        <v>135</v>
      </c>
      <c r="G50" s="5" t="n">
        <v>60.75</v>
      </c>
      <c r="H50" s="5" t="n">
        <v>168</v>
      </c>
      <c r="I50" s="5" t="n">
        <v>72</v>
      </c>
      <c r="J50" s="5" t="n">
        <v>162</v>
      </c>
      <c r="K50" s="5" t="n">
        <v>162</v>
      </c>
      <c r="L50" s="5" t="n">
        <v>8e-06</v>
      </c>
      <c r="M50" s="5" t="n">
        <v>0.012</v>
      </c>
      <c r="N50" s="5" t="n">
        <v>0.3</v>
      </c>
      <c r="O50" s="5" t="n">
        <v>3</v>
      </c>
      <c r="P50" s="5" t="n">
        <v>3</v>
      </c>
      <c r="Q50" s="5" t="n">
        <v>0</v>
      </c>
      <c r="R50" s="5" t="n">
        <v>0</v>
      </c>
      <c r="S50" s="5" t="n">
        <v>0</v>
      </c>
      <c r="T50" s="5" t="n">
        <v>0</v>
      </c>
      <c r="U50" s="8" t="n">
        <v>1</v>
      </c>
      <c r="V50" s="8" t="n">
        <v>60.75</v>
      </c>
      <c r="W50" s="8" t="n">
        <v>8.4</v>
      </c>
      <c r="X50" s="8" t="n">
        <v>168</v>
      </c>
      <c r="Y50" s="8" t="n">
        <v>60.75</v>
      </c>
      <c r="Z50" s="8" t="n">
        <v>135</v>
      </c>
      <c r="AA50" s="8" t="n">
        <v>0.0001</v>
      </c>
      <c r="AB50" s="8" t="n">
        <v>0.00015</v>
      </c>
      <c r="AC50" s="8" t="n">
        <v>1.5e-05</v>
      </c>
      <c r="AD50" s="2" t="inlineStr">
        <is>
          <t>原值保留；补值为算例假设，见字段说明</t>
        </is>
      </c>
    </row>
    <row r="51" ht="34" customHeight="1">
      <c r="A51" s="6" t="inlineStr">
        <is>
          <t>TH_0050</t>
        </is>
      </c>
      <c r="B51" s="6" t="inlineStr">
        <is>
          <t>930632000000000000</t>
        </is>
      </c>
      <c r="C51" s="5" t="inlineStr">
        <is>
          <t>苏宜协_615.8机_Jm</t>
        </is>
      </c>
      <c r="D51" s="5" t="n">
        <v>2</v>
      </c>
      <c r="E51" s="6" t="inlineStr">
        <is>
          <t>93043200000000</t>
        </is>
      </c>
      <c r="F51" s="5" t="n">
        <v>135</v>
      </c>
      <c r="G51" s="5" t="n">
        <v>60.75</v>
      </c>
      <c r="H51" s="5" t="n">
        <v>168</v>
      </c>
      <c r="I51" s="5" t="n">
        <v>72</v>
      </c>
      <c r="J51" s="5" t="n">
        <v>162</v>
      </c>
      <c r="K51" s="5" t="n">
        <v>162</v>
      </c>
      <c r="L51" s="5" t="n">
        <v>8e-06</v>
      </c>
      <c r="M51" s="5" t="n">
        <v>0.012</v>
      </c>
      <c r="N51" s="5" t="n">
        <v>0.3</v>
      </c>
      <c r="O51" s="5" t="n">
        <v>3</v>
      </c>
      <c r="P51" s="5" t="n">
        <v>3</v>
      </c>
      <c r="Q51" s="5" t="n">
        <v>0</v>
      </c>
      <c r="R51" s="5" t="n">
        <v>0</v>
      </c>
      <c r="S51" s="5" t="n">
        <v>0</v>
      </c>
      <c r="T51" s="5" t="n">
        <v>0</v>
      </c>
      <c r="U51" s="8" t="n">
        <v>1</v>
      </c>
      <c r="V51" s="8" t="n">
        <v>60.75</v>
      </c>
      <c r="W51" s="8" t="n">
        <v>8.4</v>
      </c>
      <c r="X51" s="8" t="n">
        <v>168</v>
      </c>
      <c r="Y51" s="8" t="n">
        <v>60.75</v>
      </c>
      <c r="Z51" s="8" t="n">
        <v>135</v>
      </c>
      <c r="AA51" s="8" t="n">
        <v>0.0001</v>
      </c>
      <c r="AB51" s="8" t="n">
        <v>0.00015</v>
      </c>
      <c r="AC51" s="8" t="n">
        <v>1.5e-05</v>
      </c>
      <c r="AD51" s="2" t="inlineStr">
        <is>
          <t>原值保留；补值为算例假设，见字段说明</t>
        </is>
      </c>
    </row>
    <row r="52" ht="34" customHeight="1">
      <c r="A52" s="6" t="inlineStr">
        <is>
          <t>TH_0051</t>
        </is>
      </c>
      <c r="B52" s="6" t="inlineStr">
        <is>
          <t>930632000000000000</t>
        </is>
      </c>
      <c r="C52" s="5" t="inlineStr">
        <is>
          <t>苏州非统调</t>
        </is>
      </c>
      <c r="D52" s="5" t="n">
        <v>2</v>
      </c>
      <c r="E52" s="6" t="inlineStr">
        <is>
          <t>93043200000000</t>
        </is>
      </c>
      <c r="F52" s="5" t="n">
        <v>120</v>
      </c>
      <c r="G52" s="5" t="n">
        <v>72</v>
      </c>
      <c r="H52" s="5" t="n">
        <v>168</v>
      </c>
      <c r="I52" s="5" t="n">
        <v>72</v>
      </c>
      <c r="J52" s="5" t="n">
        <v>144</v>
      </c>
      <c r="K52" s="5" t="n">
        <v>144</v>
      </c>
      <c r="L52" s="5" t="n">
        <v>5e-06</v>
      </c>
      <c r="M52" s="5" t="n">
        <v>0.01</v>
      </c>
      <c r="N52" s="5" t="n">
        <v>0.5</v>
      </c>
      <c r="O52" s="5" t="n">
        <v>8</v>
      </c>
      <c r="P52" s="5" t="n">
        <v>8</v>
      </c>
      <c r="Q52" s="5" t="n">
        <v>0</v>
      </c>
      <c r="R52" s="5" t="n">
        <v>0</v>
      </c>
      <c r="S52" s="5" t="n">
        <v>0</v>
      </c>
      <c r="T52" s="5" t="n">
        <v>0</v>
      </c>
      <c r="U52" s="8" t="n">
        <v>1</v>
      </c>
      <c r="V52" s="8" t="n">
        <v>72</v>
      </c>
      <c r="W52" s="8" t="n">
        <v>8.4</v>
      </c>
      <c r="X52" s="8" t="n">
        <v>168</v>
      </c>
      <c r="Y52" s="8" t="n">
        <v>72</v>
      </c>
      <c r="Z52" s="8" t="n">
        <v>120</v>
      </c>
      <c r="AA52" s="8" t="n">
        <v>0.0001</v>
      </c>
      <c r="AB52" s="8" t="n">
        <v>0.00015</v>
      </c>
      <c r="AC52" s="8" t="n">
        <v>1.5e-05</v>
      </c>
      <c r="AD52" s="2" t="inlineStr">
        <is>
          <t>原值保留；补值为算例假设，见字段说明</t>
        </is>
      </c>
    </row>
    <row r="53" ht="34" customHeight="1">
      <c r="A53" s="6" t="inlineStr">
        <is>
          <t>TH_0052</t>
        </is>
      </c>
      <c r="B53" s="6" t="inlineStr">
        <is>
          <t>930632000000000000</t>
        </is>
      </c>
      <c r="C53" s="5" t="inlineStr">
        <is>
          <t>苏碧溪_127.0机_JM</t>
        </is>
      </c>
      <c r="D53" s="5" t="n">
        <v>2</v>
      </c>
      <c r="E53" s="6" t="inlineStr">
        <is>
          <t>93043200000000</t>
        </is>
      </c>
      <c r="F53" s="5" t="n">
        <v>1000</v>
      </c>
      <c r="G53" s="5" t="n">
        <v>300</v>
      </c>
      <c r="H53" s="5" t="n">
        <v>168</v>
      </c>
      <c r="I53" s="5" t="n">
        <v>72</v>
      </c>
      <c r="J53" s="5" t="n">
        <v>1200</v>
      </c>
      <c r="K53" s="5" t="n">
        <v>1200</v>
      </c>
      <c r="L53" s="5" t="n">
        <v>3e-06</v>
      </c>
      <c r="M53" s="5" t="n">
        <v>0.008</v>
      </c>
      <c r="N53" s="5" t="n">
        <v>0.8</v>
      </c>
      <c r="O53" s="5" t="n">
        <v>30</v>
      </c>
      <c r="P53" s="5" t="n">
        <v>30</v>
      </c>
      <c r="Q53" s="5" t="n">
        <v>0</v>
      </c>
      <c r="R53" s="5" t="n">
        <v>0</v>
      </c>
      <c r="S53" s="5" t="n">
        <v>0</v>
      </c>
      <c r="T53" s="5" t="n">
        <v>0</v>
      </c>
      <c r="U53" s="8" t="n">
        <v>1</v>
      </c>
      <c r="V53" s="8" t="n">
        <v>300</v>
      </c>
      <c r="W53" s="8" t="n">
        <v>8.4</v>
      </c>
      <c r="X53" s="8" t="n">
        <v>168</v>
      </c>
      <c r="Y53" s="8" t="n">
        <v>300</v>
      </c>
      <c r="Z53" s="8" t="n">
        <v>1000</v>
      </c>
      <c r="AA53" s="8" t="n">
        <v>0.0001</v>
      </c>
      <c r="AB53" s="8" t="n">
        <v>0.00015</v>
      </c>
      <c r="AC53" s="8" t="n">
        <v>1.5e-05</v>
      </c>
      <c r="AD53" s="2" t="inlineStr">
        <is>
          <t>原值保留；补值为算例假设，见字段说明</t>
        </is>
      </c>
    </row>
    <row r="54" ht="34" customHeight="1">
      <c r="A54" s="6" t="inlineStr">
        <is>
          <t>TH_0053</t>
        </is>
      </c>
      <c r="B54" s="6" t="inlineStr">
        <is>
          <t>930632000000000000</t>
        </is>
      </c>
      <c r="C54" s="5" t="inlineStr">
        <is>
          <t>苏碧溪_227.0机_JM</t>
        </is>
      </c>
      <c r="D54" s="5" t="n">
        <v>2</v>
      </c>
      <c r="E54" s="6" t="inlineStr">
        <is>
          <t>93043200000000</t>
        </is>
      </c>
      <c r="F54" s="5" t="n">
        <v>1000</v>
      </c>
      <c r="G54" s="5" t="n">
        <v>300</v>
      </c>
      <c r="H54" s="5" t="n">
        <v>168</v>
      </c>
      <c r="I54" s="5" t="n">
        <v>72</v>
      </c>
      <c r="J54" s="5" t="n">
        <v>1200</v>
      </c>
      <c r="K54" s="5" t="n">
        <v>1200</v>
      </c>
      <c r="L54" s="5" t="n">
        <v>3e-06</v>
      </c>
      <c r="M54" s="5" t="n">
        <v>0.008</v>
      </c>
      <c r="N54" s="5" t="n">
        <v>0.8</v>
      </c>
      <c r="O54" s="5" t="n">
        <v>30</v>
      </c>
      <c r="P54" s="5" t="n">
        <v>30</v>
      </c>
      <c r="Q54" s="5" t="n">
        <v>0</v>
      </c>
      <c r="R54" s="5" t="n">
        <v>0</v>
      </c>
      <c r="S54" s="5" t="n">
        <v>0</v>
      </c>
      <c r="T54" s="5" t="n">
        <v>0</v>
      </c>
      <c r="U54" s="8" t="n">
        <v>1</v>
      </c>
      <c r="V54" s="8" t="n">
        <v>300</v>
      </c>
      <c r="W54" s="8" t="n">
        <v>8.4</v>
      </c>
      <c r="X54" s="8" t="n">
        <v>168</v>
      </c>
      <c r="Y54" s="8" t="n">
        <v>300</v>
      </c>
      <c r="Z54" s="8" t="n">
        <v>1000</v>
      </c>
      <c r="AA54" s="8" t="n">
        <v>0.0001</v>
      </c>
      <c r="AB54" s="8" t="n">
        <v>0.00015</v>
      </c>
      <c r="AC54" s="8" t="n">
        <v>1.5e-05</v>
      </c>
      <c r="AD54" s="2" t="inlineStr">
        <is>
          <t>原值保留；补值为算例假设，见字段说明</t>
        </is>
      </c>
    </row>
    <row r="55" ht="34" customHeight="1">
      <c r="A55" s="6" t="inlineStr">
        <is>
          <t>TH_0054</t>
        </is>
      </c>
      <c r="B55" s="6" t="inlineStr">
        <is>
          <t>930632000000000000</t>
        </is>
      </c>
      <c r="C55" s="5" t="inlineStr">
        <is>
          <t>苏华扩G320.0机_JM</t>
        </is>
      </c>
      <c r="D55" s="5" t="n">
        <v>2</v>
      </c>
      <c r="E55" s="6" t="inlineStr">
        <is>
          <t>93043200000000</t>
        </is>
      </c>
      <c r="F55" s="5" t="n">
        <v>1000</v>
      </c>
      <c r="G55" s="5" t="n">
        <v>300</v>
      </c>
      <c r="H55" s="5" t="n">
        <v>168</v>
      </c>
      <c r="I55" s="5" t="n">
        <v>72</v>
      </c>
      <c r="J55" s="5" t="n">
        <v>1200</v>
      </c>
      <c r="K55" s="5" t="n">
        <v>1200</v>
      </c>
      <c r="L55" s="5" t="n">
        <v>3e-06</v>
      </c>
      <c r="M55" s="5" t="n">
        <v>0.008</v>
      </c>
      <c r="N55" s="5" t="n">
        <v>0.8</v>
      </c>
      <c r="O55" s="5" t="n">
        <v>30</v>
      </c>
      <c r="P55" s="5" t="n">
        <v>30</v>
      </c>
      <c r="Q55" s="5" t="n">
        <v>0</v>
      </c>
      <c r="R55" s="5" t="n">
        <v>0</v>
      </c>
      <c r="S55" s="5" t="n">
        <v>0</v>
      </c>
      <c r="T55" s="5" t="n">
        <v>0</v>
      </c>
      <c r="U55" s="8" t="n">
        <v>1</v>
      </c>
      <c r="V55" s="8" t="n">
        <v>300</v>
      </c>
      <c r="W55" s="8" t="n">
        <v>8.4</v>
      </c>
      <c r="X55" s="8" t="n">
        <v>168</v>
      </c>
      <c r="Y55" s="8" t="n">
        <v>300</v>
      </c>
      <c r="Z55" s="8" t="n">
        <v>1000</v>
      </c>
      <c r="AA55" s="8" t="n">
        <v>0.0001</v>
      </c>
      <c r="AB55" s="8" t="n">
        <v>0.00015</v>
      </c>
      <c r="AC55" s="8" t="n">
        <v>1.5e-05</v>
      </c>
      <c r="AD55" s="2" t="inlineStr">
        <is>
          <t>原值保留；补值为算例假设，见字段说明</t>
        </is>
      </c>
    </row>
    <row r="56" ht="34" customHeight="1">
      <c r="A56" s="6" t="inlineStr">
        <is>
          <t>TH_0055</t>
        </is>
      </c>
      <c r="B56" s="6" t="inlineStr">
        <is>
          <t>930632000000000000</t>
        </is>
      </c>
      <c r="C56" s="5" t="inlineStr">
        <is>
          <t>苏华扩G420.0机_JM</t>
        </is>
      </c>
      <c r="D56" s="5" t="n">
        <v>2</v>
      </c>
      <c r="E56" s="6" t="inlineStr">
        <is>
          <t>93043200000000</t>
        </is>
      </c>
      <c r="F56" s="5" t="n">
        <v>1000</v>
      </c>
      <c r="G56" s="5" t="n">
        <v>300</v>
      </c>
      <c r="H56" s="5" t="n">
        <v>168</v>
      </c>
      <c r="I56" s="5" t="n">
        <v>72</v>
      </c>
      <c r="J56" s="5" t="n">
        <v>1200</v>
      </c>
      <c r="K56" s="5" t="n">
        <v>1200</v>
      </c>
      <c r="L56" s="5" t="n">
        <v>3e-06</v>
      </c>
      <c r="M56" s="5" t="n">
        <v>0.008</v>
      </c>
      <c r="N56" s="5" t="n">
        <v>0.8</v>
      </c>
      <c r="O56" s="5" t="n">
        <v>30</v>
      </c>
      <c r="P56" s="5" t="n">
        <v>30</v>
      </c>
      <c r="Q56" s="5" t="n">
        <v>0</v>
      </c>
      <c r="R56" s="5" t="n">
        <v>0</v>
      </c>
      <c r="S56" s="5" t="n">
        <v>0</v>
      </c>
      <c r="T56" s="5" t="n">
        <v>0</v>
      </c>
      <c r="U56" s="8" t="n">
        <v>1</v>
      </c>
      <c r="V56" s="8" t="n">
        <v>300</v>
      </c>
      <c r="W56" s="8" t="n">
        <v>8.4</v>
      </c>
      <c r="X56" s="8" t="n">
        <v>168</v>
      </c>
      <c r="Y56" s="8" t="n">
        <v>300</v>
      </c>
      <c r="Z56" s="8" t="n">
        <v>1000</v>
      </c>
      <c r="AA56" s="8" t="n">
        <v>0.0001</v>
      </c>
      <c r="AB56" s="8" t="n">
        <v>0.00015</v>
      </c>
      <c r="AC56" s="8" t="n">
        <v>1.5e-05</v>
      </c>
      <c r="AD56" s="2" t="inlineStr">
        <is>
          <t>原值保留；补值为算例假设，见字段说明</t>
        </is>
      </c>
    </row>
    <row r="57" ht="34" customHeight="1">
      <c r="A57" s="6" t="inlineStr">
        <is>
          <t>TH_0056</t>
        </is>
      </c>
      <c r="B57" s="6" t="inlineStr">
        <is>
          <t>930632000000000000</t>
        </is>
      </c>
      <c r="C57" s="5" t="inlineStr">
        <is>
          <t>苏沙扩G127.0机_JM</t>
        </is>
      </c>
      <c r="D57" s="5" t="n">
        <v>2</v>
      </c>
      <c r="E57" s="6" t="inlineStr">
        <is>
          <t>93043200000000</t>
        </is>
      </c>
      <c r="F57" s="5" t="n">
        <v>1000</v>
      </c>
      <c r="G57" s="5" t="n">
        <v>300</v>
      </c>
      <c r="H57" s="5" t="n">
        <v>168</v>
      </c>
      <c r="I57" s="5" t="n">
        <v>72</v>
      </c>
      <c r="J57" s="5" t="n">
        <v>1200</v>
      </c>
      <c r="K57" s="5" t="n">
        <v>1200</v>
      </c>
      <c r="L57" s="5" t="n">
        <v>3e-06</v>
      </c>
      <c r="M57" s="5" t="n">
        <v>0.008</v>
      </c>
      <c r="N57" s="5" t="n">
        <v>0.8</v>
      </c>
      <c r="O57" s="5" t="n">
        <v>30</v>
      </c>
      <c r="P57" s="5" t="n">
        <v>30</v>
      </c>
      <c r="Q57" s="5" t="n">
        <v>0</v>
      </c>
      <c r="R57" s="5" t="n">
        <v>0</v>
      </c>
      <c r="S57" s="5" t="n">
        <v>0</v>
      </c>
      <c r="T57" s="5" t="n">
        <v>0</v>
      </c>
      <c r="U57" s="8" t="n">
        <v>1</v>
      </c>
      <c r="V57" s="8" t="n">
        <v>300</v>
      </c>
      <c r="W57" s="8" t="n">
        <v>8.4</v>
      </c>
      <c r="X57" s="8" t="n">
        <v>168</v>
      </c>
      <c r="Y57" s="8" t="n">
        <v>300</v>
      </c>
      <c r="Z57" s="8" t="n">
        <v>1000</v>
      </c>
      <c r="AA57" s="8" t="n">
        <v>0.0001</v>
      </c>
      <c r="AB57" s="8" t="n">
        <v>0.00015</v>
      </c>
      <c r="AC57" s="8" t="n">
        <v>1.5e-05</v>
      </c>
      <c r="AD57" s="2" t="inlineStr">
        <is>
          <t>原值保留；补值为算例假设，见字段说明</t>
        </is>
      </c>
    </row>
    <row r="58" ht="34" customHeight="1">
      <c r="A58" s="6" t="inlineStr">
        <is>
          <t>TH_0057</t>
        </is>
      </c>
      <c r="B58" s="6" t="inlineStr">
        <is>
          <t>930632000000000000</t>
        </is>
      </c>
      <c r="C58" s="5" t="inlineStr">
        <is>
          <t>苏沙扩G227.0机_JM</t>
        </is>
      </c>
      <c r="D58" s="5" t="n">
        <v>2</v>
      </c>
      <c r="E58" s="6" t="inlineStr">
        <is>
          <t>93043200000000</t>
        </is>
      </c>
      <c r="F58" s="5" t="n">
        <v>1000</v>
      </c>
      <c r="G58" s="5" t="n">
        <v>300</v>
      </c>
      <c r="H58" s="5" t="n">
        <v>168</v>
      </c>
      <c r="I58" s="5" t="n">
        <v>72</v>
      </c>
      <c r="J58" s="5" t="n">
        <v>1200</v>
      </c>
      <c r="K58" s="5" t="n">
        <v>1200</v>
      </c>
      <c r="L58" s="5" t="n">
        <v>3e-06</v>
      </c>
      <c r="M58" s="5" t="n">
        <v>0.008</v>
      </c>
      <c r="N58" s="5" t="n">
        <v>0.8</v>
      </c>
      <c r="O58" s="5" t="n">
        <v>30</v>
      </c>
      <c r="P58" s="5" t="n">
        <v>30</v>
      </c>
      <c r="Q58" s="5" t="n">
        <v>0</v>
      </c>
      <c r="R58" s="5" t="n">
        <v>0</v>
      </c>
      <c r="S58" s="5" t="n">
        <v>0</v>
      </c>
      <c r="T58" s="5" t="n">
        <v>0</v>
      </c>
      <c r="U58" s="8" t="n">
        <v>1</v>
      </c>
      <c r="V58" s="8" t="n">
        <v>300</v>
      </c>
      <c r="W58" s="8" t="n">
        <v>8.4</v>
      </c>
      <c r="X58" s="8" t="n">
        <v>168</v>
      </c>
      <c r="Y58" s="8" t="n">
        <v>300</v>
      </c>
      <c r="Z58" s="8" t="n">
        <v>1000</v>
      </c>
      <c r="AA58" s="8" t="n">
        <v>0.0001</v>
      </c>
      <c r="AB58" s="8" t="n">
        <v>0.00015</v>
      </c>
      <c r="AC58" s="8" t="n">
        <v>1.5e-05</v>
      </c>
      <c r="AD58" s="2" t="inlineStr">
        <is>
          <t>原值保留；补值为算例假设，见字段说明</t>
        </is>
      </c>
    </row>
    <row r="59" ht="34" customHeight="1">
      <c r="A59" s="6" t="inlineStr">
        <is>
          <t>TH_0058</t>
        </is>
      </c>
      <c r="B59" s="6" t="inlineStr">
        <is>
          <t>930632000000000000</t>
        </is>
      </c>
      <c r="C59" s="5" t="inlineStr">
        <is>
          <t>苏沙二_127.0机_JM</t>
        </is>
      </c>
      <c r="D59" s="5" t="n">
        <v>2</v>
      </c>
      <c r="E59" s="6" t="inlineStr">
        <is>
          <t>93043200000000</t>
        </is>
      </c>
      <c r="F59" s="5" t="n">
        <v>1000</v>
      </c>
      <c r="G59" s="5" t="n">
        <v>300</v>
      </c>
      <c r="H59" s="5" t="n">
        <v>168</v>
      </c>
      <c r="I59" s="5" t="n">
        <v>72</v>
      </c>
      <c r="J59" s="5" t="n">
        <v>1200</v>
      </c>
      <c r="K59" s="5" t="n">
        <v>1200</v>
      </c>
      <c r="L59" s="5" t="n">
        <v>3e-06</v>
      </c>
      <c r="M59" s="5" t="n">
        <v>0.008</v>
      </c>
      <c r="N59" s="5" t="n">
        <v>0.8</v>
      </c>
      <c r="O59" s="5" t="n">
        <v>30</v>
      </c>
      <c r="P59" s="5" t="n">
        <v>30</v>
      </c>
      <c r="Q59" s="5" t="n">
        <v>0</v>
      </c>
      <c r="R59" s="5" t="n">
        <v>0</v>
      </c>
      <c r="S59" s="5" t="n">
        <v>0</v>
      </c>
      <c r="T59" s="5" t="n">
        <v>0</v>
      </c>
      <c r="U59" s="8" t="n">
        <v>1</v>
      </c>
      <c r="V59" s="8" t="n">
        <v>300</v>
      </c>
      <c r="W59" s="8" t="n">
        <v>8.4</v>
      </c>
      <c r="X59" s="8" t="n">
        <v>168</v>
      </c>
      <c r="Y59" s="8" t="n">
        <v>300</v>
      </c>
      <c r="Z59" s="8" t="n">
        <v>1000</v>
      </c>
      <c r="AA59" s="8" t="n">
        <v>0.0001</v>
      </c>
      <c r="AB59" s="8" t="n">
        <v>0.00015</v>
      </c>
      <c r="AC59" s="8" t="n">
        <v>1.5e-05</v>
      </c>
      <c r="AD59" s="2" t="inlineStr">
        <is>
          <t>原值保留；补值为算例假设，见字段说明</t>
        </is>
      </c>
    </row>
    <row r="60" ht="34" customHeight="1">
      <c r="A60" s="6" t="inlineStr">
        <is>
          <t>TH_0059</t>
        </is>
      </c>
      <c r="B60" s="6" t="inlineStr">
        <is>
          <t>930632000000000000</t>
        </is>
      </c>
      <c r="C60" s="5" t="inlineStr">
        <is>
          <t>苏沙二_227.0机_JM</t>
        </is>
      </c>
      <c r="D60" s="5" t="n">
        <v>2</v>
      </c>
      <c r="E60" s="6" t="inlineStr">
        <is>
          <t>93043200000000</t>
        </is>
      </c>
      <c r="F60" s="5" t="n">
        <v>1000</v>
      </c>
      <c r="G60" s="5" t="n">
        <v>300</v>
      </c>
      <c r="H60" s="5" t="n">
        <v>168</v>
      </c>
      <c r="I60" s="5" t="n">
        <v>72</v>
      </c>
      <c r="J60" s="5" t="n">
        <v>1200</v>
      </c>
      <c r="K60" s="5" t="n">
        <v>1200</v>
      </c>
      <c r="L60" s="5" t="n">
        <v>3e-06</v>
      </c>
      <c r="M60" s="5" t="n">
        <v>0.008</v>
      </c>
      <c r="N60" s="5" t="n">
        <v>0.8</v>
      </c>
      <c r="O60" s="5" t="n">
        <v>30</v>
      </c>
      <c r="P60" s="5" t="n">
        <v>30</v>
      </c>
      <c r="Q60" s="5" t="n">
        <v>0</v>
      </c>
      <c r="R60" s="5" t="n">
        <v>0</v>
      </c>
      <c r="S60" s="5" t="n">
        <v>0</v>
      </c>
      <c r="T60" s="5" t="n">
        <v>0</v>
      </c>
      <c r="U60" s="8" t="n">
        <v>1</v>
      </c>
      <c r="V60" s="8" t="n">
        <v>300</v>
      </c>
      <c r="W60" s="8" t="n">
        <v>8.4</v>
      </c>
      <c r="X60" s="8" t="n">
        <v>168</v>
      </c>
      <c r="Y60" s="8" t="n">
        <v>300</v>
      </c>
      <c r="Z60" s="8" t="n">
        <v>1000</v>
      </c>
      <c r="AA60" s="8" t="n">
        <v>0.0001</v>
      </c>
      <c r="AB60" s="8" t="n">
        <v>0.00015</v>
      </c>
      <c r="AC60" s="8" t="n">
        <v>1.5e-05</v>
      </c>
      <c r="AD60" s="2" t="inlineStr">
        <is>
          <t>原值保留；补值为算例假设，见字段说明</t>
        </is>
      </c>
    </row>
    <row r="61" ht="34" customHeight="1">
      <c r="A61" s="6" t="inlineStr">
        <is>
          <t>TH_0060</t>
        </is>
      </c>
      <c r="B61" s="6" t="inlineStr">
        <is>
          <t>930632000000000000</t>
        </is>
      </c>
      <c r="C61" s="5" t="inlineStr">
        <is>
          <t>苏望扩G620.0机_Jm</t>
        </is>
      </c>
      <c r="D61" s="5" t="n">
        <v>2</v>
      </c>
      <c r="E61" s="6" t="inlineStr">
        <is>
          <t>93043200000000</t>
        </is>
      </c>
      <c r="F61" s="5" t="n">
        <v>660</v>
      </c>
      <c r="G61" s="5" t="n">
        <v>198</v>
      </c>
      <c r="H61" s="5" t="n">
        <v>168</v>
      </c>
      <c r="I61" s="5" t="n">
        <v>72</v>
      </c>
      <c r="J61" s="5" t="n">
        <v>792</v>
      </c>
      <c r="K61" s="5" t="n">
        <v>792</v>
      </c>
      <c r="L61" s="5" t="n">
        <v>3e-06</v>
      </c>
      <c r="M61" s="5" t="n">
        <v>0.008</v>
      </c>
      <c r="N61" s="5" t="n">
        <v>0.8</v>
      </c>
      <c r="O61" s="5" t="n">
        <v>30</v>
      </c>
      <c r="P61" s="5" t="n">
        <v>30</v>
      </c>
      <c r="Q61" s="5" t="n">
        <v>0</v>
      </c>
      <c r="R61" s="5" t="n">
        <v>0</v>
      </c>
      <c r="S61" s="5" t="n">
        <v>0</v>
      </c>
      <c r="T61" s="5" t="n">
        <v>0</v>
      </c>
      <c r="U61" s="8" t="n">
        <v>1</v>
      </c>
      <c r="V61" s="8" t="n">
        <v>198</v>
      </c>
      <c r="W61" s="8" t="n">
        <v>8.4</v>
      </c>
      <c r="X61" s="8" t="n">
        <v>168</v>
      </c>
      <c r="Y61" s="8" t="n">
        <v>198</v>
      </c>
      <c r="Z61" s="8" t="n">
        <v>660</v>
      </c>
      <c r="AA61" s="8" t="n">
        <v>0.0001</v>
      </c>
      <c r="AB61" s="8" t="n">
        <v>0.00015</v>
      </c>
      <c r="AC61" s="8" t="n">
        <v>1.5e-05</v>
      </c>
      <c r="AD61" s="2" t="inlineStr">
        <is>
          <t>原值保留；补值为算例假设，见字段说明</t>
        </is>
      </c>
    </row>
    <row r="62" ht="34" customHeight="1">
      <c r="A62" s="6" t="inlineStr">
        <is>
          <t>TH_0061</t>
        </is>
      </c>
      <c r="B62" s="6" t="inlineStr">
        <is>
          <t>930632000000000000</t>
        </is>
      </c>
      <c r="C62" s="5" t="inlineStr">
        <is>
          <t>苏望扩G720.0机_Jm</t>
        </is>
      </c>
      <c r="D62" s="5" t="n">
        <v>2</v>
      </c>
      <c r="E62" s="6" t="inlineStr">
        <is>
          <t>93043200000000</t>
        </is>
      </c>
      <c r="F62" s="5" t="n">
        <v>660</v>
      </c>
      <c r="G62" s="5" t="n">
        <v>198</v>
      </c>
      <c r="H62" s="5" t="n">
        <v>168</v>
      </c>
      <c r="I62" s="5" t="n">
        <v>72</v>
      </c>
      <c r="J62" s="5" t="n">
        <v>792</v>
      </c>
      <c r="K62" s="5" t="n">
        <v>792</v>
      </c>
      <c r="L62" s="5" t="n">
        <v>3e-06</v>
      </c>
      <c r="M62" s="5" t="n">
        <v>0.008</v>
      </c>
      <c r="N62" s="5" t="n">
        <v>0.8</v>
      </c>
      <c r="O62" s="5" t="n">
        <v>30</v>
      </c>
      <c r="P62" s="5" t="n">
        <v>30</v>
      </c>
      <c r="Q62" s="5" t="n">
        <v>0</v>
      </c>
      <c r="R62" s="5" t="n">
        <v>0</v>
      </c>
      <c r="S62" s="5" t="n">
        <v>0</v>
      </c>
      <c r="T62" s="5" t="n">
        <v>0</v>
      </c>
      <c r="U62" s="8" t="n">
        <v>1</v>
      </c>
      <c r="V62" s="8" t="n">
        <v>198</v>
      </c>
      <c r="W62" s="8" t="n">
        <v>8.4</v>
      </c>
      <c r="X62" s="8" t="n">
        <v>168</v>
      </c>
      <c r="Y62" s="8" t="n">
        <v>198</v>
      </c>
      <c r="Z62" s="8" t="n">
        <v>660</v>
      </c>
      <c r="AA62" s="8" t="n">
        <v>0.0001</v>
      </c>
      <c r="AB62" s="8" t="n">
        <v>0.00015</v>
      </c>
      <c r="AC62" s="8" t="n">
        <v>1.5e-05</v>
      </c>
      <c r="AD62" s="2" t="inlineStr">
        <is>
          <t>原值保留；补值为算例假设，见字段说明</t>
        </is>
      </c>
    </row>
    <row r="63" ht="34" customHeight="1">
      <c r="A63" s="6" t="inlineStr">
        <is>
          <t>TH_0062</t>
        </is>
      </c>
      <c r="B63" s="6" t="inlineStr">
        <is>
          <t>930632000000000000</t>
        </is>
      </c>
      <c r="C63" s="5" t="inlineStr">
        <is>
          <t>苏熟扩E120.0机_Jm</t>
        </is>
      </c>
      <c r="D63" s="5" t="n">
        <v>2</v>
      </c>
      <c r="E63" s="6" t="inlineStr">
        <is>
          <t>93043200000000</t>
        </is>
      </c>
      <c r="F63" s="5" t="n">
        <v>660</v>
      </c>
      <c r="G63" s="5" t="n">
        <v>198</v>
      </c>
      <c r="H63" s="5" t="n">
        <v>168</v>
      </c>
      <c r="I63" s="5" t="n">
        <v>72</v>
      </c>
      <c r="J63" s="5" t="n">
        <v>792</v>
      </c>
      <c r="K63" s="5" t="n">
        <v>792</v>
      </c>
      <c r="L63" s="5" t="n">
        <v>3e-06</v>
      </c>
      <c r="M63" s="5" t="n">
        <v>0.008</v>
      </c>
      <c r="N63" s="5" t="n">
        <v>0.8</v>
      </c>
      <c r="O63" s="5" t="n">
        <v>30</v>
      </c>
      <c r="P63" s="5" t="n">
        <v>30</v>
      </c>
      <c r="Q63" s="5" t="n">
        <v>0</v>
      </c>
      <c r="R63" s="5" t="n">
        <v>0</v>
      </c>
      <c r="S63" s="5" t="n">
        <v>0</v>
      </c>
      <c r="T63" s="5" t="n">
        <v>0</v>
      </c>
      <c r="U63" s="8" t="n">
        <v>1</v>
      </c>
      <c r="V63" s="8" t="n">
        <v>198</v>
      </c>
      <c r="W63" s="8" t="n">
        <v>8.4</v>
      </c>
      <c r="X63" s="8" t="n">
        <v>168</v>
      </c>
      <c r="Y63" s="8" t="n">
        <v>198</v>
      </c>
      <c r="Z63" s="8" t="n">
        <v>660</v>
      </c>
      <c r="AA63" s="8" t="n">
        <v>0.0001</v>
      </c>
      <c r="AB63" s="8" t="n">
        <v>0.00015</v>
      </c>
      <c r="AC63" s="8" t="n">
        <v>1.5e-05</v>
      </c>
      <c r="AD63" s="2" t="inlineStr">
        <is>
          <t>原值保留；补值为算例假设，见字段说明</t>
        </is>
      </c>
    </row>
    <row r="64" ht="34" customHeight="1">
      <c r="A64" s="6" t="inlineStr">
        <is>
          <t>TH_0063</t>
        </is>
      </c>
      <c r="B64" s="6" t="inlineStr">
        <is>
          <t>930632000000000000</t>
        </is>
      </c>
      <c r="C64" s="5" t="inlineStr">
        <is>
          <t>苏熟扩E220.0机_Jm</t>
        </is>
      </c>
      <c r="D64" s="5" t="n">
        <v>2</v>
      </c>
      <c r="E64" s="6" t="inlineStr">
        <is>
          <t>93043200000000</t>
        </is>
      </c>
      <c r="F64" s="5" t="n">
        <v>660</v>
      </c>
      <c r="G64" s="5" t="n">
        <v>198</v>
      </c>
      <c r="H64" s="5" t="n">
        <v>168</v>
      </c>
      <c r="I64" s="5" t="n">
        <v>72</v>
      </c>
      <c r="J64" s="5" t="n">
        <v>792</v>
      </c>
      <c r="K64" s="5" t="n">
        <v>792</v>
      </c>
      <c r="L64" s="5" t="n">
        <v>3e-06</v>
      </c>
      <c r="M64" s="5" t="n">
        <v>0.008</v>
      </c>
      <c r="N64" s="5" t="n">
        <v>0.8</v>
      </c>
      <c r="O64" s="5" t="n">
        <v>30</v>
      </c>
      <c r="P64" s="5" t="n">
        <v>30</v>
      </c>
      <c r="Q64" s="5" t="n">
        <v>0</v>
      </c>
      <c r="R64" s="5" t="n">
        <v>0</v>
      </c>
      <c r="S64" s="5" t="n">
        <v>0</v>
      </c>
      <c r="T64" s="5" t="n">
        <v>0</v>
      </c>
      <c r="U64" s="8" t="n">
        <v>1</v>
      </c>
      <c r="V64" s="8" t="n">
        <v>198</v>
      </c>
      <c r="W64" s="8" t="n">
        <v>8.4</v>
      </c>
      <c r="X64" s="8" t="n">
        <v>168</v>
      </c>
      <c r="Y64" s="8" t="n">
        <v>198</v>
      </c>
      <c r="Z64" s="8" t="n">
        <v>660</v>
      </c>
      <c r="AA64" s="8" t="n">
        <v>0.0001</v>
      </c>
      <c r="AB64" s="8" t="n">
        <v>0.00015</v>
      </c>
      <c r="AC64" s="8" t="n">
        <v>1.5e-05</v>
      </c>
      <c r="AD64" s="2" t="inlineStr">
        <is>
          <t>原值保留；补值为算例假设，见字段说明</t>
        </is>
      </c>
    </row>
    <row r="65" ht="34" customHeight="1">
      <c r="A65" s="6" t="inlineStr">
        <is>
          <t>TH_0064</t>
        </is>
      </c>
      <c r="B65" s="6" t="inlineStr">
        <is>
          <t>930632000000000000</t>
        </is>
      </c>
      <c r="C65" s="5" t="inlineStr">
        <is>
          <t>苏熟扩G120.0机_Jm</t>
        </is>
      </c>
      <c r="D65" s="5" t="n">
        <v>2</v>
      </c>
      <c r="E65" s="6" t="inlineStr">
        <is>
          <t>93043200000000</t>
        </is>
      </c>
      <c r="F65" s="5" t="n">
        <v>660</v>
      </c>
      <c r="G65" s="5" t="n">
        <v>198</v>
      </c>
      <c r="H65" s="5" t="n">
        <v>168</v>
      </c>
      <c r="I65" s="5" t="n">
        <v>72</v>
      </c>
      <c r="J65" s="5" t="n">
        <v>792</v>
      </c>
      <c r="K65" s="5" t="n">
        <v>792</v>
      </c>
      <c r="L65" s="5" t="n">
        <v>3e-06</v>
      </c>
      <c r="M65" s="5" t="n">
        <v>0.008</v>
      </c>
      <c r="N65" s="5" t="n">
        <v>0.8</v>
      </c>
      <c r="O65" s="5" t="n">
        <v>30</v>
      </c>
      <c r="P65" s="5" t="n">
        <v>30</v>
      </c>
      <c r="Q65" s="5" t="n">
        <v>0</v>
      </c>
      <c r="R65" s="5" t="n">
        <v>0</v>
      </c>
      <c r="S65" s="5" t="n">
        <v>0</v>
      </c>
      <c r="T65" s="5" t="n">
        <v>0</v>
      </c>
      <c r="U65" s="8" t="n">
        <v>1</v>
      </c>
      <c r="V65" s="8" t="n">
        <v>198</v>
      </c>
      <c r="W65" s="8" t="n">
        <v>8.4</v>
      </c>
      <c r="X65" s="8" t="n">
        <v>168</v>
      </c>
      <c r="Y65" s="8" t="n">
        <v>198</v>
      </c>
      <c r="Z65" s="8" t="n">
        <v>660</v>
      </c>
      <c r="AA65" s="8" t="n">
        <v>0.0001</v>
      </c>
      <c r="AB65" s="8" t="n">
        <v>0.00015</v>
      </c>
      <c r="AC65" s="8" t="n">
        <v>1.5e-05</v>
      </c>
      <c r="AD65" s="2" t="inlineStr">
        <is>
          <t>原值保留；补值为算例假设，见字段说明</t>
        </is>
      </c>
    </row>
    <row r="66" ht="34" customHeight="1">
      <c r="A66" s="6" t="inlineStr">
        <is>
          <t>TH_0065</t>
        </is>
      </c>
      <c r="B66" s="6" t="inlineStr">
        <is>
          <t>930632000000000000</t>
        </is>
      </c>
      <c r="C66" s="5" t="inlineStr">
        <is>
          <t>苏熟二_122.0机_JM</t>
        </is>
      </c>
      <c r="D66" s="5" t="n">
        <v>2</v>
      </c>
      <c r="E66" s="6" t="inlineStr">
        <is>
          <t>93043200000000</t>
        </is>
      </c>
      <c r="F66" s="5" t="n">
        <v>650</v>
      </c>
      <c r="G66" s="5" t="n">
        <v>195</v>
      </c>
      <c r="H66" s="5" t="n">
        <v>168</v>
      </c>
      <c r="I66" s="5" t="n">
        <v>72</v>
      </c>
      <c r="J66" s="5" t="n">
        <v>780</v>
      </c>
      <c r="K66" s="5" t="n">
        <v>780</v>
      </c>
      <c r="L66" s="5" t="n">
        <v>3e-06</v>
      </c>
      <c r="M66" s="5" t="n">
        <v>0.008</v>
      </c>
      <c r="N66" s="5" t="n">
        <v>0.8</v>
      </c>
      <c r="O66" s="5" t="n">
        <v>30</v>
      </c>
      <c r="P66" s="5" t="n">
        <v>30</v>
      </c>
      <c r="Q66" s="5" t="n">
        <v>0</v>
      </c>
      <c r="R66" s="5" t="n">
        <v>0</v>
      </c>
      <c r="S66" s="5" t="n">
        <v>0</v>
      </c>
      <c r="T66" s="5" t="n">
        <v>0</v>
      </c>
      <c r="U66" s="8" t="n">
        <v>1</v>
      </c>
      <c r="V66" s="8" t="n">
        <v>195</v>
      </c>
      <c r="W66" s="8" t="n">
        <v>8.4</v>
      </c>
      <c r="X66" s="8" t="n">
        <v>168</v>
      </c>
      <c r="Y66" s="8" t="n">
        <v>195</v>
      </c>
      <c r="Z66" s="8" t="n">
        <v>650</v>
      </c>
      <c r="AA66" s="8" t="n">
        <v>0.0001</v>
      </c>
      <c r="AB66" s="8" t="n">
        <v>0.00015</v>
      </c>
      <c r="AC66" s="8" t="n">
        <v>1.5e-05</v>
      </c>
      <c r="AD66" s="2" t="inlineStr">
        <is>
          <t>原值保留；补值为算例假设，见字段说明</t>
        </is>
      </c>
    </row>
    <row r="67" ht="34" customHeight="1">
      <c r="A67" s="6" t="inlineStr">
        <is>
          <t>TH_0066</t>
        </is>
      </c>
      <c r="B67" s="6" t="inlineStr">
        <is>
          <t>930632000000000000</t>
        </is>
      </c>
      <c r="C67" s="5" t="inlineStr">
        <is>
          <t>苏熟二_222.0机_JM</t>
        </is>
      </c>
      <c r="D67" s="5" t="n">
        <v>2</v>
      </c>
      <c r="E67" s="6" t="inlineStr">
        <is>
          <t>93043200000000</t>
        </is>
      </c>
      <c r="F67" s="5" t="n">
        <v>650</v>
      </c>
      <c r="G67" s="5" t="n">
        <v>195</v>
      </c>
      <c r="H67" s="5" t="n">
        <v>168</v>
      </c>
      <c r="I67" s="5" t="n">
        <v>72</v>
      </c>
      <c r="J67" s="5" t="n">
        <v>780</v>
      </c>
      <c r="K67" s="5" t="n">
        <v>780</v>
      </c>
      <c r="L67" s="5" t="n">
        <v>3e-06</v>
      </c>
      <c r="M67" s="5" t="n">
        <v>0.008</v>
      </c>
      <c r="N67" s="5" t="n">
        <v>0.8</v>
      </c>
      <c r="O67" s="5" t="n">
        <v>30</v>
      </c>
      <c r="P67" s="5" t="n">
        <v>30</v>
      </c>
      <c r="Q67" s="5" t="n">
        <v>0</v>
      </c>
      <c r="R67" s="5" t="n">
        <v>0</v>
      </c>
      <c r="S67" s="5" t="n">
        <v>0</v>
      </c>
      <c r="T67" s="5" t="n">
        <v>0</v>
      </c>
      <c r="U67" s="8" t="n">
        <v>1</v>
      </c>
      <c r="V67" s="8" t="n">
        <v>195</v>
      </c>
      <c r="W67" s="8" t="n">
        <v>8.4</v>
      </c>
      <c r="X67" s="8" t="n">
        <v>168</v>
      </c>
      <c r="Y67" s="8" t="n">
        <v>195</v>
      </c>
      <c r="Z67" s="8" t="n">
        <v>650</v>
      </c>
      <c r="AA67" s="8" t="n">
        <v>0.0001</v>
      </c>
      <c r="AB67" s="8" t="n">
        <v>0.00015</v>
      </c>
      <c r="AC67" s="8" t="n">
        <v>1.5e-05</v>
      </c>
      <c r="AD67" s="2" t="inlineStr">
        <is>
          <t>原值保留；补值为算例假设，见字段说明</t>
        </is>
      </c>
    </row>
    <row r="68" ht="34" customHeight="1">
      <c r="A68" s="6" t="inlineStr">
        <is>
          <t>TH_0067</t>
        </is>
      </c>
      <c r="B68" s="6" t="inlineStr">
        <is>
          <t>930632000000000000</t>
        </is>
      </c>
      <c r="C68" s="5" t="inlineStr">
        <is>
          <t>苏熟二_322.0机_JM</t>
        </is>
      </c>
      <c r="D68" s="5" t="n">
        <v>2</v>
      </c>
      <c r="E68" s="6" t="inlineStr">
        <is>
          <t>93043200000000</t>
        </is>
      </c>
      <c r="F68" s="5" t="n">
        <v>650</v>
      </c>
      <c r="G68" s="5" t="n">
        <v>195</v>
      </c>
      <c r="H68" s="5" t="n">
        <v>168</v>
      </c>
      <c r="I68" s="5" t="n">
        <v>72</v>
      </c>
      <c r="J68" s="5" t="n">
        <v>780</v>
      </c>
      <c r="K68" s="5" t="n">
        <v>780</v>
      </c>
      <c r="L68" s="5" t="n">
        <v>3e-06</v>
      </c>
      <c r="M68" s="5" t="n">
        <v>0.008</v>
      </c>
      <c r="N68" s="5" t="n">
        <v>0.8</v>
      </c>
      <c r="O68" s="5" t="n">
        <v>30</v>
      </c>
      <c r="P68" s="5" t="n">
        <v>30</v>
      </c>
      <c r="Q68" s="5" t="n">
        <v>0</v>
      </c>
      <c r="R68" s="5" t="n">
        <v>0</v>
      </c>
      <c r="S68" s="5" t="n">
        <v>0</v>
      </c>
      <c r="T68" s="5" t="n">
        <v>0</v>
      </c>
      <c r="U68" s="8" t="n">
        <v>1</v>
      </c>
      <c r="V68" s="8" t="n">
        <v>195</v>
      </c>
      <c r="W68" s="8" t="n">
        <v>8.4</v>
      </c>
      <c r="X68" s="8" t="n">
        <v>168</v>
      </c>
      <c r="Y68" s="8" t="n">
        <v>195</v>
      </c>
      <c r="Z68" s="8" t="n">
        <v>650</v>
      </c>
      <c r="AA68" s="8" t="n">
        <v>0.0001</v>
      </c>
      <c r="AB68" s="8" t="n">
        <v>0.00015</v>
      </c>
      <c r="AC68" s="8" t="n">
        <v>1.5e-05</v>
      </c>
      <c r="AD68" s="2" t="inlineStr">
        <is>
          <t>原值保留；补值为算例假设，见字段说明</t>
        </is>
      </c>
    </row>
    <row r="69" ht="34" customHeight="1">
      <c r="A69" s="6" t="inlineStr">
        <is>
          <t>TH_0068</t>
        </is>
      </c>
      <c r="B69" s="6" t="inlineStr">
        <is>
          <t>930632000000000000</t>
        </is>
      </c>
      <c r="C69" s="5" t="inlineStr">
        <is>
          <t>苏华苏_420.0机_JM</t>
        </is>
      </c>
      <c r="D69" s="5" t="n">
        <v>2</v>
      </c>
      <c r="E69" s="6" t="inlineStr">
        <is>
          <t>93043200000000</t>
        </is>
      </c>
      <c r="F69" s="5" t="n">
        <v>630</v>
      </c>
      <c r="G69" s="5" t="n">
        <v>189</v>
      </c>
      <c r="H69" s="5" t="n">
        <v>168</v>
      </c>
      <c r="I69" s="5" t="n">
        <v>72</v>
      </c>
      <c r="J69" s="5" t="n">
        <v>756</v>
      </c>
      <c r="K69" s="5" t="n">
        <v>756</v>
      </c>
      <c r="L69" s="5" t="n">
        <v>3e-06</v>
      </c>
      <c r="M69" s="5" t="n">
        <v>0.008</v>
      </c>
      <c r="N69" s="5" t="n">
        <v>0.8</v>
      </c>
      <c r="O69" s="5" t="n">
        <v>30</v>
      </c>
      <c r="P69" s="5" t="n">
        <v>30</v>
      </c>
      <c r="Q69" s="5" t="n">
        <v>0</v>
      </c>
      <c r="R69" s="5" t="n">
        <v>0</v>
      </c>
      <c r="S69" s="5" t="n">
        <v>0</v>
      </c>
      <c r="T69" s="5" t="n">
        <v>0</v>
      </c>
      <c r="U69" s="8" t="n">
        <v>1</v>
      </c>
      <c r="V69" s="8" t="n">
        <v>189</v>
      </c>
      <c r="W69" s="8" t="n">
        <v>8.4</v>
      </c>
      <c r="X69" s="8" t="n">
        <v>168</v>
      </c>
      <c r="Y69" s="8" t="n">
        <v>189</v>
      </c>
      <c r="Z69" s="8" t="n">
        <v>630</v>
      </c>
      <c r="AA69" s="8" t="n">
        <v>0.0001</v>
      </c>
      <c r="AB69" s="8" t="n">
        <v>0.00015</v>
      </c>
      <c r="AC69" s="8" t="n">
        <v>1.5e-05</v>
      </c>
      <c r="AD69" s="2" t="inlineStr">
        <is>
          <t>原值保留；补值为算例假设，见字段说明</t>
        </is>
      </c>
    </row>
    <row r="70" ht="34" customHeight="1">
      <c r="A70" s="6" t="inlineStr">
        <is>
          <t>TH_0069</t>
        </is>
      </c>
      <c r="B70" s="6" t="inlineStr">
        <is>
          <t>930632000000000000</t>
        </is>
      </c>
      <c r="C70" s="5" t="inlineStr">
        <is>
          <t>苏浏河_724.0机_JM</t>
        </is>
      </c>
      <c r="D70" s="5" t="n">
        <v>2</v>
      </c>
      <c r="E70" s="6" t="inlineStr">
        <is>
          <t>93043200000000</t>
        </is>
      </c>
      <c r="F70" s="5" t="n">
        <v>630</v>
      </c>
      <c r="G70" s="5" t="n">
        <v>189</v>
      </c>
      <c r="H70" s="5" t="n">
        <v>168</v>
      </c>
      <c r="I70" s="5" t="n">
        <v>72</v>
      </c>
      <c r="J70" s="5" t="n">
        <v>756</v>
      </c>
      <c r="K70" s="5" t="n">
        <v>756</v>
      </c>
      <c r="L70" s="5" t="n">
        <v>3e-06</v>
      </c>
      <c r="M70" s="5" t="n">
        <v>0.008</v>
      </c>
      <c r="N70" s="5" t="n">
        <v>0.8</v>
      </c>
      <c r="O70" s="5" t="n">
        <v>30</v>
      </c>
      <c r="P70" s="5" t="n">
        <v>30</v>
      </c>
      <c r="Q70" s="5" t="n">
        <v>0</v>
      </c>
      <c r="R70" s="5" t="n">
        <v>0</v>
      </c>
      <c r="S70" s="5" t="n">
        <v>0</v>
      </c>
      <c r="T70" s="5" t="n">
        <v>0</v>
      </c>
      <c r="U70" s="8" t="n">
        <v>1</v>
      </c>
      <c r="V70" s="8" t="n">
        <v>189</v>
      </c>
      <c r="W70" s="8" t="n">
        <v>8.4</v>
      </c>
      <c r="X70" s="8" t="n">
        <v>168</v>
      </c>
      <c r="Y70" s="8" t="n">
        <v>189</v>
      </c>
      <c r="Z70" s="8" t="n">
        <v>630</v>
      </c>
      <c r="AA70" s="8" t="n">
        <v>0.0001</v>
      </c>
      <c r="AB70" s="8" t="n">
        <v>0.00015</v>
      </c>
      <c r="AC70" s="8" t="n">
        <v>1.5e-05</v>
      </c>
      <c r="AD70" s="2" t="inlineStr">
        <is>
          <t>原值保留；补值为算例假设，见字段说明</t>
        </is>
      </c>
    </row>
    <row r="71" ht="34" customHeight="1">
      <c r="A71" s="6" t="inlineStr">
        <is>
          <t>TH_0070</t>
        </is>
      </c>
      <c r="B71" s="6" t="inlineStr">
        <is>
          <t>930632000000000000</t>
        </is>
      </c>
      <c r="C71" s="5" t="inlineStr">
        <is>
          <t>苏浏河_824.0机_JM</t>
        </is>
      </c>
      <c r="D71" s="5" t="n">
        <v>2</v>
      </c>
      <c r="E71" s="6" t="inlineStr">
        <is>
          <t>93043200000000</t>
        </is>
      </c>
      <c r="F71" s="5" t="n">
        <v>630</v>
      </c>
      <c r="G71" s="5" t="n">
        <v>189</v>
      </c>
      <c r="H71" s="5" t="n">
        <v>168</v>
      </c>
      <c r="I71" s="5" t="n">
        <v>72</v>
      </c>
      <c r="J71" s="5" t="n">
        <v>756</v>
      </c>
      <c r="K71" s="5" t="n">
        <v>756</v>
      </c>
      <c r="L71" s="5" t="n">
        <v>3e-06</v>
      </c>
      <c r="M71" s="5" t="n">
        <v>0.008</v>
      </c>
      <c r="N71" s="5" t="n">
        <v>0.8</v>
      </c>
      <c r="O71" s="5" t="n">
        <v>30</v>
      </c>
      <c r="P71" s="5" t="n">
        <v>30</v>
      </c>
      <c r="Q71" s="5" t="n">
        <v>0</v>
      </c>
      <c r="R71" s="5" t="n">
        <v>0</v>
      </c>
      <c r="S71" s="5" t="n">
        <v>0</v>
      </c>
      <c r="T71" s="5" t="n">
        <v>0</v>
      </c>
      <c r="U71" s="8" t="n">
        <v>1</v>
      </c>
      <c r="V71" s="8" t="n">
        <v>189</v>
      </c>
      <c r="W71" s="8" t="n">
        <v>8.4</v>
      </c>
      <c r="X71" s="8" t="n">
        <v>168</v>
      </c>
      <c r="Y71" s="8" t="n">
        <v>189</v>
      </c>
      <c r="Z71" s="8" t="n">
        <v>630</v>
      </c>
      <c r="AA71" s="8" t="n">
        <v>0.0001</v>
      </c>
      <c r="AB71" s="8" t="n">
        <v>0.00015</v>
      </c>
      <c r="AC71" s="8" t="n">
        <v>1.5e-05</v>
      </c>
      <c r="AD71" s="2" t="inlineStr">
        <is>
          <t>原值保留；补值为算例假设，见字段说明</t>
        </is>
      </c>
    </row>
    <row r="72" ht="34" customHeight="1">
      <c r="A72" s="6" t="inlineStr">
        <is>
          <t>TH_0071</t>
        </is>
      </c>
      <c r="B72" s="6" t="inlineStr">
        <is>
          <t>930632000000000000</t>
        </is>
      </c>
      <c r="C72" s="5" t="inlineStr">
        <is>
          <t>苏华改G120.0机_Jm</t>
        </is>
      </c>
      <c r="D72" s="5" t="n">
        <v>2</v>
      </c>
      <c r="E72" s="6" t="inlineStr">
        <is>
          <t>93043200000000</t>
        </is>
      </c>
      <c r="F72" s="5" t="n">
        <v>630</v>
      </c>
      <c r="G72" s="5" t="n">
        <v>189</v>
      </c>
      <c r="H72" s="5" t="n">
        <v>168</v>
      </c>
      <c r="I72" s="5" t="n">
        <v>72</v>
      </c>
      <c r="J72" s="5" t="n">
        <v>756</v>
      </c>
      <c r="K72" s="5" t="n">
        <v>756</v>
      </c>
      <c r="L72" s="5" t="n">
        <v>3e-06</v>
      </c>
      <c r="M72" s="5" t="n">
        <v>0.008</v>
      </c>
      <c r="N72" s="5" t="n">
        <v>0.8</v>
      </c>
      <c r="O72" s="5" t="n">
        <v>30</v>
      </c>
      <c r="P72" s="5" t="n">
        <v>30</v>
      </c>
      <c r="Q72" s="5" t="n">
        <v>0</v>
      </c>
      <c r="R72" s="5" t="n">
        <v>0</v>
      </c>
      <c r="S72" s="5" t="n">
        <v>0</v>
      </c>
      <c r="T72" s="5" t="n">
        <v>0</v>
      </c>
      <c r="U72" s="8" t="n">
        <v>1</v>
      </c>
      <c r="V72" s="8" t="n">
        <v>189</v>
      </c>
      <c r="W72" s="8" t="n">
        <v>8.4</v>
      </c>
      <c r="X72" s="8" t="n">
        <v>168</v>
      </c>
      <c r="Y72" s="8" t="n">
        <v>189</v>
      </c>
      <c r="Z72" s="8" t="n">
        <v>630</v>
      </c>
      <c r="AA72" s="8" t="n">
        <v>0.0001</v>
      </c>
      <c r="AB72" s="8" t="n">
        <v>0.00015</v>
      </c>
      <c r="AC72" s="8" t="n">
        <v>1.5e-05</v>
      </c>
      <c r="AD72" s="2" t="inlineStr">
        <is>
          <t>原值保留；补值为算例假设，见字段说明</t>
        </is>
      </c>
    </row>
    <row r="73" ht="34" customHeight="1">
      <c r="A73" s="6" t="inlineStr">
        <is>
          <t>TH_0072</t>
        </is>
      </c>
      <c r="B73" s="6" t="inlineStr">
        <is>
          <t>930632000000000000</t>
        </is>
      </c>
      <c r="C73" s="5" t="inlineStr">
        <is>
          <t>苏沙厂_120.0机_Jm</t>
        </is>
      </c>
      <c r="D73" s="5" t="n">
        <v>2</v>
      </c>
      <c r="E73" s="6" t="inlineStr">
        <is>
          <t>93043200000000</t>
        </is>
      </c>
      <c r="F73" s="5" t="n">
        <v>630</v>
      </c>
      <c r="G73" s="5" t="n">
        <v>189</v>
      </c>
      <c r="H73" s="5" t="n">
        <v>168</v>
      </c>
      <c r="I73" s="5" t="n">
        <v>72</v>
      </c>
      <c r="J73" s="5" t="n">
        <v>756</v>
      </c>
      <c r="K73" s="5" t="n">
        <v>756</v>
      </c>
      <c r="L73" s="5" t="n">
        <v>3e-06</v>
      </c>
      <c r="M73" s="5" t="n">
        <v>0.008</v>
      </c>
      <c r="N73" s="5" t="n">
        <v>0.8</v>
      </c>
      <c r="O73" s="5" t="n">
        <v>30</v>
      </c>
      <c r="P73" s="5" t="n">
        <v>30</v>
      </c>
      <c r="Q73" s="5" t="n">
        <v>0</v>
      </c>
      <c r="R73" s="5" t="n">
        <v>0</v>
      </c>
      <c r="S73" s="5" t="n">
        <v>0</v>
      </c>
      <c r="T73" s="5" t="n">
        <v>0</v>
      </c>
      <c r="U73" s="8" t="n">
        <v>1</v>
      </c>
      <c r="V73" s="8" t="n">
        <v>189</v>
      </c>
      <c r="W73" s="8" t="n">
        <v>8.4</v>
      </c>
      <c r="X73" s="8" t="n">
        <v>168</v>
      </c>
      <c r="Y73" s="8" t="n">
        <v>189</v>
      </c>
      <c r="Z73" s="8" t="n">
        <v>630</v>
      </c>
      <c r="AA73" s="8" t="n">
        <v>0.0001</v>
      </c>
      <c r="AB73" s="8" t="n">
        <v>0.00015</v>
      </c>
      <c r="AC73" s="8" t="n">
        <v>1.5e-05</v>
      </c>
      <c r="AD73" s="2" t="inlineStr">
        <is>
          <t>原值保留；补值为算例假设，见字段说明</t>
        </is>
      </c>
    </row>
    <row r="74" ht="34" customHeight="1">
      <c r="A74" s="6" t="inlineStr">
        <is>
          <t>TH_0073</t>
        </is>
      </c>
      <c r="B74" s="6" t="inlineStr">
        <is>
          <t>930632000000000000</t>
        </is>
      </c>
      <c r="C74" s="5" t="inlineStr">
        <is>
          <t>苏沙厂_220.0机_Jm</t>
        </is>
      </c>
      <c r="D74" s="5" t="n">
        <v>2</v>
      </c>
      <c r="E74" s="6" t="inlineStr">
        <is>
          <t>93043200000000</t>
        </is>
      </c>
      <c r="F74" s="5" t="n">
        <v>630</v>
      </c>
      <c r="G74" s="5" t="n">
        <v>189</v>
      </c>
      <c r="H74" s="5" t="n">
        <v>168</v>
      </c>
      <c r="I74" s="5" t="n">
        <v>72</v>
      </c>
      <c r="J74" s="5" t="n">
        <v>756</v>
      </c>
      <c r="K74" s="5" t="n">
        <v>756</v>
      </c>
      <c r="L74" s="5" t="n">
        <v>3e-06</v>
      </c>
      <c r="M74" s="5" t="n">
        <v>0.008</v>
      </c>
      <c r="N74" s="5" t="n">
        <v>0.8</v>
      </c>
      <c r="O74" s="5" t="n">
        <v>30</v>
      </c>
      <c r="P74" s="5" t="n">
        <v>30</v>
      </c>
      <c r="Q74" s="5" t="n">
        <v>0</v>
      </c>
      <c r="R74" s="5" t="n">
        <v>0</v>
      </c>
      <c r="S74" s="5" t="n">
        <v>0</v>
      </c>
      <c r="T74" s="5" t="n">
        <v>0</v>
      </c>
      <c r="U74" s="8" t="n">
        <v>1</v>
      </c>
      <c r="V74" s="8" t="n">
        <v>189</v>
      </c>
      <c r="W74" s="8" t="n">
        <v>8.4</v>
      </c>
      <c r="X74" s="8" t="n">
        <v>168</v>
      </c>
      <c r="Y74" s="8" t="n">
        <v>189</v>
      </c>
      <c r="Z74" s="8" t="n">
        <v>630</v>
      </c>
      <c r="AA74" s="8" t="n">
        <v>0.0001</v>
      </c>
      <c r="AB74" s="8" t="n">
        <v>0.00015</v>
      </c>
      <c r="AC74" s="8" t="n">
        <v>1.5e-05</v>
      </c>
      <c r="AD74" s="2" t="inlineStr">
        <is>
          <t>原值保留；补值为算例假设，见字段说明</t>
        </is>
      </c>
    </row>
    <row r="75" ht="34" customHeight="1">
      <c r="A75" s="6" t="inlineStr">
        <is>
          <t>TH_0074</t>
        </is>
      </c>
      <c r="B75" s="6" t="inlineStr">
        <is>
          <t>930632000000000000</t>
        </is>
      </c>
      <c r="C75" s="5" t="inlineStr">
        <is>
          <t>苏环保_320.0机_Jm</t>
        </is>
      </c>
      <c r="D75" s="5" t="n">
        <v>2</v>
      </c>
      <c r="E75" s="6" t="inlineStr">
        <is>
          <t>93043200000000</t>
        </is>
      </c>
      <c r="F75" s="5" t="n">
        <v>330</v>
      </c>
      <c r="G75" s="5" t="n">
        <v>99</v>
      </c>
      <c r="H75" s="5" t="n">
        <v>168</v>
      </c>
      <c r="I75" s="5" t="n">
        <v>72</v>
      </c>
      <c r="J75" s="5" t="n">
        <v>396</v>
      </c>
      <c r="K75" s="5" t="n">
        <v>396</v>
      </c>
      <c r="L75" s="5" t="n">
        <v>5e-06</v>
      </c>
      <c r="M75" s="5" t="n">
        <v>0.01</v>
      </c>
      <c r="N75" s="5" t="n">
        <v>0.5</v>
      </c>
      <c r="O75" s="5" t="n">
        <v>8</v>
      </c>
      <c r="P75" s="5" t="n">
        <v>8</v>
      </c>
      <c r="Q75" s="5" t="n">
        <v>0</v>
      </c>
      <c r="R75" s="5" t="n">
        <v>0</v>
      </c>
      <c r="S75" s="5" t="n">
        <v>0</v>
      </c>
      <c r="T75" s="5" t="n">
        <v>0</v>
      </c>
      <c r="U75" s="8" t="n">
        <v>1</v>
      </c>
      <c r="V75" s="8" t="n">
        <v>99</v>
      </c>
      <c r="W75" s="8" t="n">
        <v>8.4</v>
      </c>
      <c r="X75" s="8" t="n">
        <v>168</v>
      </c>
      <c r="Y75" s="8" t="n">
        <v>99</v>
      </c>
      <c r="Z75" s="8" t="n">
        <v>330</v>
      </c>
      <c r="AA75" s="8" t="n">
        <v>0.0001</v>
      </c>
      <c r="AB75" s="8" t="n">
        <v>0.00015</v>
      </c>
      <c r="AC75" s="8" t="n">
        <v>1.5e-05</v>
      </c>
      <c r="AD75" s="2" t="inlineStr">
        <is>
          <t>原值保留；补值为算例假设，见字段说明</t>
        </is>
      </c>
    </row>
    <row r="76" ht="34" customHeight="1">
      <c r="A76" s="6" t="inlineStr">
        <is>
          <t>TH_0075</t>
        </is>
      </c>
      <c r="B76" s="6" t="inlineStr">
        <is>
          <t>930632000000000000</t>
        </is>
      </c>
      <c r="C76" s="5" t="inlineStr">
        <is>
          <t>苏环保_520.0机_Jm</t>
        </is>
      </c>
      <c r="D76" s="5" t="n">
        <v>2</v>
      </c>
      <c r="E76" s="6" t="inlineStr">
        <is>
          <t>93043200000000</t>
        </is>
      </c>
      <c r="F76" s="5" t="n">
        <v>330</v>
      </c>
      <c r="G76" s="5" t="n">
        <v>99</v>
      </c>
      <c r="H76" s="5" t="n">
        <v>168</v>
      </c>
      <c r="I76" s="5" t="n">
        <v>72</v>
      </c>
      <c r="J76" s="5" t="n">
        <v>396</v>
      </c>
      <c r="K76" s="5" t="n">
        <v>396</v>
      </c>
      <c r="L76" s="5" t="n">
        <v>5e-06</v>
      </c>
      <c r="M76" s="5" t="n">
        <v>0.01</v>
      </c>
      <c r="N76" s="5" t="n">
        <v>0.5</v>
      </c>
      <c r="O76" s="5" t="n">
        <v>8</v>
      </c>
      <c r="P76" s="5" t="n">
        <v>8</v>
      </c>
      <c r="Q76" s="5" t="n">
        <v>0</v>
      </c>
      <c r="R76" s="5" t="n">
        <v>0</v>
      </c>
      <c r="S76" s="5" t="n">
        <v>0</v>
      </c>
      <c r="T76" s="5" t="n">
        <v>0</v>
      </c>
      <c r="U76" s="8" t="n">
        <v>1</v>
      </c>
      <c r="V76" s="8" t="n">
        <v>99</v>
      </c>
      <c r="W76" s="8" t="n">
        <v>8.4</v>
      </c>
      <c r="X76" s="8" t="n">
        <v>168</v>
      </c>
      <c r="Y76" s="8" t="n">
        <v>99</v>
      </c>
      <c r="Z76" s="8" t="n">
        <v>330</v>
      </c>
      <c r="AA76" s="8" t="n">
        <v>0.0001</v>
      </c>
      <c r="AB76" s="8" t="n">
        <v>0.00015</v>
      </c>
      <c r="AC76" s="8" t="n">
        <v>1.5e-05</v>
      </c>
      <c r="AD76" s="2" t="inlineStr">
        <is>
          <t>原值保留；补值为算例假设，见字段说明</t>
        </is>
      </c>
    </row>
    <row r="77" ht="34" customHeight="1">
      <c r="A77" s="6" t="inlineStr">
        <is>
          <t>TH_0076</t>
        </is>
      </c>
      <c r="B77" s="6" t="inlineStr">
        <is>
          <t>930632000000000000</t>
        </is>
      </c>
      <c r="C77" s="5" t="inlineStr">
        <is>
          <t>苏华苏_120.0机_Jm</t>
        </is>
      </c>
      <c r="D77" s="5" t="n">
        <v>2</v>
      </c>
      <c r="E77" s="6" t="inlineStr">
        <is>
          <t>93043200000000</t>
        </is>
      </c>
      <c r="F77" s="5" t="n">
        <v>320</v>
      </c>
      <c r="G77" s="5" t="n">
        <v>96</v>
      </c>
      <c r="H77" s="5" t="n">
        <v>168</v>
      </c>
      <c r="I77" s="5" t="n">
        <v>72</v>
      </c>
      <c r="J77" s="5" t="n">
        <v>384</v>
      </c>
      <c r="K77" s="5" t="n">
        <v>384</v>
      </c>
      <c r="L77" s="5" t="n">
        <v>5e-06</v>
      </c>
      <c r="M77" s="5" t="n">
        <v>0.01</v>
      </c>
      <c r="N77" s="5" t="n">
        <v>0.5</v>
      </c>
      <c r="O77" s="5" t="n">
        <v>8</v>
      </c>
      <c r="P77" s="5" t="n">
        <v>8</v>
      </c>
      <c r="Q77" s="5" t="n">
        <v>0</v>
      </c>
      <c r="R77" s="5" t="n">
        <v>0</v>
      </c>
      <c r="S77" s="5" t="n">
        <v>0</v>
      </c>
      <c r="T77" s="5" t="n">
        <v>0</v>
      </c>
      <c r="U77" s="8" t="n">
        <v>1</v>
      </c>
      <c r="V77" s="8" t="n">
        <v>96</v>
      </c>
      <c r="W77" s="8" t="n">
        <v>8.4</v>
      </c>
      <c r="X77" s="8" t="n">
        <v>168</v>
      </c>
      <c r="Y77" s="8" t="n">
        <v>96</v>
      </c>
      <c r="Z77" s="8" t="n">
        <v>320</v>
      </c>
      <c r="AA77" s="8" t="n">
        <v>0.0001</v>
      </c>
      <c r="AB77" s="8" t="n">
        <v>0.00015</v>
      </c>
      <c r="AC77" s="8" t="n">
        <v>1.5e-05</v>
      </c>
      <c r="AD77" s="2" t="inlineStr">
        <is>
          <t>原值保留；补值为算例假设，见字段说明</t>
        </is>
      </c>
    </row>
    <row r="78" ht="34" customHeight="1">
      <c r="A78" s="6" t="inlineStr">
        <is>
          <t>TH_0077</t>
        </is>
      </c>
      <c r="B78" s="6" t="inlineStr">
        <is>
          <t>930632000000000000</t>
        </is>
      </c>
      <c r="C78" s="5" t="inlineStr">
        <is>
          <t>苏华苏_220.0机_Jm</t>
        </is>
      </c>
      <c r="D78" s="5" t="n">
        <v>2</v>
      </c>
      <c r="E78" s="6" t="inlineStr">
        <is>
          <t>93043200000000</t>
        </is>
      </c>
      <c r="F78" s="5" t="n">
        <v>320</v>
      </c>
      <c r="G78" s="5" t="n">
        <v>96</v>
      </c>
      <c r="H78" s="5" t="n">
        <v>168</v>
      </c>
      <c r="I78" s="5" t="n">
        <v>72</v>
      </c>
      <c r="J78" s="5" t="n">
        <v>384</v>
      </c>
      <c r="K78" s="5" t="n">
        <v>384</v>
      </c>
      <c r="L78" s="5" t="n">
        <v>5e-06</v>
      </c>
      <c r="M78" s="5" t="n">
        <v>0.01</v>
      </c>
      <c r="N78" s="5" t="n">
        <v>0.5</v>
      </c>
      <c r="O78" s="5" t="n">
        <v>8</v>
      </c>
      <c r="P78" s="5" t="n">
        <v>8</v>
      </c>
      <c r="Q78" s="5" t="n">
        <v>0</v>
      </c>
      <c r="R78" s="5" t="n">
        <v>0</v>
      </c>
      <c r="S78" s="5" t="n">
        <v>0</v>
      </c>
      <c r="T78" s="5" t="n">
        <v>0</v>
      </c>
      <c r="U78" s="8" t="n">
        <v>1</v>
      </c>
      <c r="V78" s="8" t="n">
        <v>96</v>
      </c>
      <c r="W78" s="8" t="n">
        <v>8.4</v>
      </c>
      <c r="X78" s="8" t="n">
        <v>168</v>
      </c>
      <c r="Y78" s="8" t="n">
        <v>96</v>
      </c>
      <c r="Z78" s="8" t="n">
        <v>320</v>
      </c>
      <c r="AA78" s="8" t="n">
        <v>0.0001</v>
      </c>
      <c r="AB78" s="8" t="n">
        <v>0.00015</v>
      </c>
      <c r="AC78" s="8" t="n">
        <v>1.5e-05</v>
      </c>
      <c r="AD78" s="2" t="inlineStr">
        <is>
          <t>原值保留；补值为算例假设，见字段说明</t>
        </is>
      </c>
    </row>
    <row r="79" ht="34" customHeight="1">
      <c r="A79" s="6" t="inlineStr">
        <is>
          <t>TH_0078</t>
        </is>
      </c>
      <c r="B79" s="6" t="inlineStr">
        <is>
          <t>930632000000000000</t>
        </is>
      </c>
      <c r="C79" s="5" t="inlineStr">
        <is>
          <t>苏环保_420.0机_Jm</t>
        </is>
      </c>
      <c r="D79" s="5" t="n">
        <v>2</v>
      </c>
      <c r="E79" s="6" t="inlineStr">
        <is>
          <t>93043200000000</t>
        </is>
      </c>
      <c r="F79" s="5" t="n">
        <v>320</v>
      </c>
      <c r="G79" s="5" t="n">
        <v>96</v>
      </c>
      <c r="H79" s="5" t="n">
        <v>168</v>
      </c>
      <c r="I79" s="5" t="n">
        <v>72</v>
      </c>
      <c r="J79" s="5" t="n">
        <v>384</v>
      </c>
      <c r="K79" s="5" t="n">
        <v>384</v>
      </c>
      <c r="L79" s="5" t="n">
        <v>5e-06</v>
      </c>
      <c r="M79" s="5" t="n">
        <v>0.01</v>
      </c>
      <c r="N79" s="5" t="n">
        <v>0.5</v>
      </c>
      <c r="O79" s="5" t="n">
        <v>8</v>
      </c>
      <c r="P79" s="5" t="n">
        <v>8</v>
      </c>
      <c r="Q79" s="5" t="n">
        <v>0</v>
      </c>
      <c r="R79" s="5" t="n">
        <v>0</v>
      </c>
      <c r="S79" s="5" t="n">
        <v>0</v>
      </c>
      <c r="T79" s="5" t="n">
        <v>0</v>
      </c>
      <c r="U79" s="8" t="n">
        <v>1</v>
      </c>
      <c r="V79" s="8" t="n">
        <v>96</v>
      </c>
      <c r="W79" s="8" t="n">
        <v>8.4</v>
      </c>
      <c r="X79" s="8" t="n">
        <v>168</v>
      </c>
      <c r="Y79" s="8" t="n">
        <v>96</v>
      </c>
      <c r="Z79" s="8" t="n">
        <v>320</v>
      </c>
      <c r="AA79" s="8" t="n">
        <v>0.0001</v>
      </c>
      <c r="AB79" s="8" t="n">
        <v>0.00015</v>
      </c>
      <c r="AC79" s="8" t="n">
        <v>1.5e-05</v>
      </c>
      <c r="AD79" s="2" t="inlineStr">
        <is>
          <t>原值保留；补值为算例假设，见字段说明</t>
        </is>
      </c>
    </row>
    <row r="80" ht="34" customHeight="1">
      <c r="A80" s="6" t="inlineStr">
        <is>
          <t>TH_0079</t>
        </is>
      </c>
      <c r="B80" s="6" t="inlineStr">
        <is>
          <t>930632000000000000</t>
        </is>
      </c>
      <c r="C80" s="5" t="inlineStr">
        <is>
          <t>苏环保_620.0机_Jm</t>
        </is>
      </c>
      <c r="D80" s="5" t="n">
        <v>2</v>
      </c>
      <c r="E80" s="6" t="inlineStr">
        <is>
          <t>93043200000000</t>
        </is>
      </c>
      <c r="F80" s="5" t="n">
        <v>320</v>
      </c>
      <c r="G80" s="5" t="n">
        <v>96</v>
      </c>
      <c r="H80" s="5" t="n">
        <v>168</v>
      </c>
      <c r="I80" s="5" t="n">
        <v>72</v>
      </c>
      <c r="J80" s="5" t="n">
        <v>384</v>
      </c>
      <c r="K80" s="5" t="n">
        <v>384</v>
      </c>
      <c r="L80" s="5" t="n">
        <v>5e-06</v>
      </c>
      <c r="M80" s="5" t="n">
        <v>0.01</v>
      </c>
      <c r="N80" s="5" t="n">
        <v>0.5</v>
      </c>
      <c r="O80" s="5" t="n">
        <v>8</v>
      </c>
      <c r="P80" s="5" t="n">
        <v>8</v>
      </c>
      <c r="Q80" s="5" t="n">
        <v>0</v>
      </c>
      <c r="R80" s="5" t="n">
        <v>0</v>
      </c>
      <c r="S80" s="5" t="n">
        <v>0</v>
      </c>
      <c r="T80" s="5" t="n">
        <v>0</v>
      </c>
      <c r="U80" s="8" t="n">
        <v>1</v>
      </c>
      <c r="V80" s="8" t="n">
        <v>96</v>
      </c>
      <c r="W80" s="8" t="n">
        <v>8.4</v>
      </c>
      <c r="X80" s="8" t="n">
        <v>168</v>
      </c>
      <c r="Y80" s="8" t="n">
        <v>96</v>
      </c>
      <c r="Z80" s="8" t="n">
        <v>320</v>
      </c>
      <c r="AA80" s="8" t="n">
        <v>0.0001</v>
      </c>
      <c r="AB80" s="8" t="n">
        <v>0.00015</v>
      </c>
      <c r="AC80" s="8" t="n">
        <v>1.5e-05</v>
      </c>
      <c r="AD80" s="2" t="inlineStr">
        <is>
          <t>原值保留；补值为算例假设，见字段说明</t>
        </is>
      </c>
    </row>
    <row r="81" ht="34" customHeight="1">
      <c r="A81" s="6" t="inlineStr">
        <is>
          <t>TH_0080</t>
        </is>
      </c>
      <c r="B81" s="6" t="inlineStr">
        <is>
          <t>930632000000000000</t>
        </is>
      </c>
      <c r="C81" s="5" t="inlineStr">
        <is>
          <t>苏高港_527.0机_JM</t>
        </is>
      </c>
      <c r="D81" s="5" t="n">
        <v>3</v>
      </c>
      <c r="E81" s="6" t="inlineStr">
        <is>
          <t>93043200000000</t>
        </is>
      </c>
      <c r="F81" s="5" t="n">
        <v>1000</v>
      </c>
      <c r="G81" s="5" t="n">
        <v>300</v>
      </c>
      <c r="H81" s="5" t="n">
        <v>168</v>
      </c>
      <c r="I81" s="5" t="n">
        <v>72</v>
      </c>
      <c r="J81" s="5" t="n">
        <v>1200</v>
      </c>
      <c r="K81" s="5" t="n">
        <v>1200</v>
      </c>
      <c r="L81" s="5" t="n">
        <v>3e-06</v>
      </c>
      <c r="M81" s="5" t="n">
        <v>0.008</v>
      </c>
      <c r="N81" s="5" t="n">
        <v>0.8</v>
      </c>
      <c r="O81" s="5" t="n">
        <v>30</v>
      </c>
      <c r="P81" s="5" t="n">
        <v>30</v>
      </c>
      <c r="Q81" s="5" t="n">
        <v>0</v>
      </c>
      <c r="R81" s="5" t="n">
        <v>0</v>
      </c>
      <c r="S81" s="5" t="n">
        <v>0</v>
      </c>
      <c r="T81" s="5" t="n">
        <v>0</v>
      </c>
      <c r="U81" s="8" t="n">
        <v>1</v>
      </c>
      <c r="V81" s="8" t="n">
        <v>300</v>
      </c>
      <c r="W81" s="8" t="n">
        <v>8.4</v>
      </c>
      <c r="X81" s="8" t="n">
        <v>168</v>
      </c>
      <c r="Y81" s="8" t="n">
        <v>300</v>
      </c>
      <c r="Z81" s="8" t="n">
        <v>1000</v>
      </c>
      <c r="AA81" s="8" t="n">
        <v>0.0001</v>
      </c>
      <c r="AB81" s="8" t="n">
        <v>0.00015</v>
      </c>
      <c r="AC81" s="8" t="n">
        <v>1.5e-05</v>
      </c>
      <c r="AD81" s="2" t="inlineStr">
        <is>
          <t>原值保留；补值为算例假设，见字段说明</t>
        </is>
      </c>
    </row>
    <row r="82" ht="34" customHeight="1">
      <c r="A82" s="6" t="inlineStr">
        <is>
          <t>TH_0081</t>
        </is>
      </c>
      <c r="B82" s="6" t="inlineStr">
        <is>
          <t>930632000000000000</t>
        </is>
      </c>
      <c r="C82" s="5" t="inlineStr">
        <is>
          <t>苏高港_627.0机_JM</t>
        </is>
      </c>
      <c r="D82" s="5" t="n">
        <v>3</v>
      </c>
      <c r="E82" s="6" t="inlineStr">
        <is>
          <t>93043200000000</t>
        </is>
      </c>
      <c r="F82" s="5" t="n">
        <v>1000</v>
      </c>
      <c r="G82" s="5" t="n">
        <v>300</v>
      </c>
      <c r="H82" s="5" t="n">
        <v>168</v>
      </c>
      <c r="I82" s="5" t="n">
        <v>72</v>
      </c>
      <c r="J82" s="5" t="n">
        <v>1200</v>
      </c>
      <c r="K82" s="5" t="n">
        <v>1200</v>
      </c>
      <c r="L82" s="5" t="n">
        <v>3e-06</v>
      </c>
      <c r="M82" s="5" t="n">
        <v>0.008</v>
      </c>
      <c r="N82" s="5" t="n">
        <v>0.8</v>
      </c>
      <c r="O82" s="5" t="n">
        <v>30</v>
      </c>
      <c r="P82" s="5" t="n">
        <v>30</v>
      </c>
      <c r="Q82" s="5" t="n">
        <v>0</v>
      </c>
      <c r="R82" s="5" t="n">
        <v>0</v>
      </c>
      <c r="S82" s="5" t="n">
        <v>0</v>
      </c>
      <c r="T82" s="5" t="n">
        <v>0</v>
      </c>
      <c r="U82" s="8" t="n">
        <v>1</v>
      </c>
      <c r="V82" s="8" t="n">
        <v>300</v>
      </c>
      <c r="W82" s="8" t="n">
        <v>8.4</v>
      </c>
      <c r="X82" s="8" t="n">
        <v>168</v>
      </c>
      <c r="Y82" s="8" t="n">
        <v>300</v>
      </c>
      <c r="Z82" s="8" t="n">
        <v>1000</v>
      </c>
      <c r="AA82" s="8" t="n">
        <v>0.0001</v>
      </c>
      <c r="AB82" s="8" t="n">
        <v>0.00015</v>
      </c>
      <c r="AC82" s="8" t="n">
        <v>1.5e-05</v>
      </c>
      <c r="AD82" s="2" t="inlineStr">
        <is>
          <t>原值保留；补值为算例假设，见字段说明</t>
        </is>
      </c>
    </row>
    <row r="83" ht="34" customHeight="1">
      <c r="A83" s="6" t="inlineStr">
        <is>
          <t>TH_0082</t>
        </is>
      </c>
      <c r="B83" s="6" t="inlineStr">
        <is>
          <t>930632000000000000</t>
        </is>
      </c>
      <c r="C83" s="5" t="inlineStr">
        <is>
          <t>苏扬二_320.0机_JM</t>
        </is>
      </c>
      <c r="D83" s="5" t="n">
        <v>3</v>
      </c>
      <c r="E83" s="6" t="inlineStr">
        <is>
          <t>93043200000000</t>
        </is>
      </c>
      <c r="F83" s="5" t="n">
        <v>650</v>
      </c>
      <c r="G83" s="5" t="n">
        <v>195</v>
      </c>
      <c r="H83" s="5" t="n">
        <v>168</v>
      </c>
      <c r="I83" s="5" t="n">
        <v>72</v>
      </c>
      <c r="J83" s="5" t="n">
        <v>780</v>
      </c>
      <c r="K83" s="5" t="n">
        <v>780</v>
      </c>
      <c r="L83" s="5" t="n">
        <v>3e-06</v>
      </c>
      <c r="M83" s="5" t="n">
        <v>0.008</v>
      </c>
      <c r="N83" s="5" t="n">
        <v>0.8</v>
      </c>
      <c r="O83" s="5" t="n">
        <v>30</v>
      </c>
      <c r="P83" s="5" t="n">
        <v>30</v>
      </c>
      <c r="Q83" s="5" t="n">
        <v>0</v>
      </c>
      <c r="R83" s="5" t="n">
        <v>0</v>
      </c>
      <c r="S83" s="5" t="n">
        <v>0</v>
      </c>
      <c r="T83" s="5" t="n">
        <v>0</v>
      </c>
      <c r="U83" s="8" t="n">
        <v>1</v>
      </c>
      <c r="V83" s="8" t="n">
        <v>195</v>
      </c>
      <c r="W83" s="8" t="n">
        <v>8.4</v>
      </c>
      <c r="X83" s="8" t="n">
        <v>168</v>
      </c>
      <c r="Y83" s="8" t="n">
        <v>195</v>
      </c>
      <c r="Z83" s="8" t="n">
        <v>650</v>
      </c>
      <c r="AA83" s="8" t="n">
        <v>0.0001</v>
      </c>
      <c r="AB83" s="8" t="n">
        <v>0.00015</v>
      </c>
      <c r="AC83" s="8" t="n">
        <v>1.5e-05</v>
      </c>
      <c r="AD83" s="2" t="inlineStr">
        <is>
          <t>原值保留；补值为算例假设，见字段说明</t>
        </is>
      </c>
    </row>
    <row r="84" ht="34" customHeight="1">
      <c r="A84" s="6" t="inlineStr">
        <is>
          <t>TH_0083</t>
        </is>
      </c>
      <c r="B84" s="6" t="inlineStr">
        <is>
          <t>930632000000000000</t>
        </is>
      </c>
      <c r="C84" s="5" t="inlineStr">
        <is>
          <t>苏扬二_120.0机_JM</t>
        </is>
      </c>
      <c r="D84" s="5" t="n">
        <v>3</v>
      </c>
      <c r="E84" s="6" t="inlineStr">
        <is>
          <t>93043200000000</t>
        </is>
      </c>
      <c r="F84" s="5" t="n">
        <v>630</v>
      </c>
      <c r="G84" s="5" t="n">
        <v>189</v>
      </c>
      <c r="H84" s="5" t="n">
        <v>168</v>
      </c>
      <c r="I84" s="5" t="n">
        <v>72</v>
      </c>
      <c r="J84" s="5" t="n">
        <v>756</v>
      </c>
      <c r="K84" s="5" t="n">
        <v>756</v>
      </c>
      <c r="L84" s="5" t="n">
        <v>3e-06</v>
      </c>
      <c r="M84" s="5" t="n">
        <v>0.008</v>
      </c>
      <c r="N84" s="5" t="n">
        <v>0.8</v>
      </c>
      <c r="O84" s="5" t="n">
        <v>30</v>
      </c>
      <c r="P84" s="5" t="n">
        <v>30</v>
      </c>
      <c r="Q84" s="5" t="n">
        <v>0</v>
      </c>
      <c r="R84" s="5" t="n">
        <v>0</v>
      </c>
      <c r="S84" s="5" t="n">
        <v>0</v>
      </c>
      <c r="T84" s="5" t="n">
        <v>0</v>
      </c>
      <c r="U84" s="8" t="n">
        <v>1</v>
      </c>
      <c r="V84" s="8" t="n">
        <v>189</v>
      </c>
      <c r="W84" s="8" t="n">
        <v>8.4</v>
      </c>
      <c r="X84" s="8" t="n">
        <v>168</v>
      </c>
      <c r="Y84" s="8" t="n">
        <v>189</v>
      </c>
      <c r="Z84" s="8" t="n">
        <v>630</v>
      </c>
      <c r="AA84" s="8" t="n">
        <v>0.0001</v>
      </c>
      <c r="AB84" s="8" t="n">
        <v>0.00015</v>
      </c>
      <c r="AC84" s="8" t="n">
        <v>1.5e-05</v>
      </c>
      <c r="AD84" s="2" t="inlineStr">
        <is>
          <t>原值保留；补值为算例假设，见字段说明</t>
        </is>
      </c>
    </row>
    <row r="85" ht="34" customHeight="1">
      <c r="A85" s="6" t="inlineStr">
        <is>
          <t>TH_0084</t>
        </is>
      </c>
      <c r="B85" s="6" t="inlineStr">
        <is>
          <t>930632000000000000</t>
        </is>
      </c>
      <c r="C85" s="5" t="inlineStr">
        <is>
          <t>苏扬二_220.0机_JM</t>
        </is>
      </c>
      <c r="D85" s="5" t="n">
        <v>3</v>
      </c>
      <c r="E85" s="6" t="inlineStr">
        <is>
          <t>93043200000000</t>
        </is>
      </c>
      <c r="F85" s="5" t="n">
        <v>630</v>
      </c>
      <c r="G85" s="5" t="n">
        <v>189</v>
      </c>
      <c r="H85" s="5" t="n">
        <v>168</v>
      </c>
      <c r="I85" s="5" t="n">
        <v>72</v>
      </c>
      <c r="J85" s="5" t="n">
        <v>756</v>
      </c>
      <c r="K85" s="5" t="n">
        <v>756</v>
      </c>
      <c r="L85" s="5" t="n">
        <v>3e-06</v>
      </c>
      <c r="M85" s="5" t="n">
        <v>0.008</v>
      </c>
      <c r="N85" s="5" t="n">
        <v>0.8</v>
      </c>
      <c r="O85" s="5" t="n">
        <v>30</v>
      </c>
      <c r="P85" s="5" t="n">
        <v>30</v>
      </c>
      <c r="Q85" s="5" t="n">
        <v>0</v>
      </c>
      <c r="R85" s="5" t="n">
        <v>0</v>
      </c>
      <c r="S85" s="5" t="n">
        <v>0</v>
      </c>
      <c r="T85" s="5" t="n">
        <v>0</v>
      </c>
      <c r="U85" s="8" t="n">
        <v>1</v>
      </c>
      <c r="V85" s="8" t="n">
        <v>189</v>
      </c>
      <c r="W85" s="8" t="n">
        <v>8.4</v>
      </c>
      <c r="X85" s="8" t="n">
        <v>168</v>
      </c>
      <c r="Y85" s="8" t="n">
        <v>189</v>
      </c>
      <c r="Z85" s="8" t="n">
        <v>630</v>
      </c>
      <c r="AA85" s="8" t="n">
        <v>0.0001</v>
      </c>
      <c r="AB85" s="8" t="n">
        <v>0.00015</v>
      </c>
      <c r="AC85" s="8" t="n">
        <v>1.5e-05</v>
      </c>
      <c r="AD85" s="2" t="inlineStr">
        <is>
          <t>原值保留；补值为算例假设，见字段说明</t>
        </is>
      </c>
    </row>
    <row r="86" ht="34" customHeight="1">
      <c r="A86" s="6" t="inlineStr">
        <is>
          <t>TH_0085</t>
        </is>
      </c>
      <c r="B86" s="6" t="inlineStr">
        <is>
          <t>930632000000000000</t>
        </is>
      </c>
      <c r="C86" s="5" t="inlineStr">
        <is>
          <t>苏扬二_420.0机_JM</t>
        </is>
      </c>
      <c r="D86" s="5" t="n">
        <v>3</v>
      </c>
      <c r="E86" s="6" t="inlineStr">
        <is>
          <t>93043200000000</t>
        </is>
      </c>
      <c r="F86" s="5" t="n">
        <v>630</v>
      </c>
      <c r="G86" s="5" t="n">
        <v>189</v>
      </c>
      <c r="H86" s="5" t="n">
        <v>168</v>
      </c>
      <c r="I86" s="5" t="n">
        <v>72</v>
      </c>
      <c r="J86" s="5" t="n">
        <v>756</v>
      </c>
      <c r="K86" s="5" t="n">
        <v>756</v>
      </c>
      <c r="L86" s="5" t="n">
        <v>3e-06</v>
      </c>
      <c r="M86" s="5" t="n">
        <v>0.008</v>
      </c>
      <c r="N86" s="5" t="n">
        <v>0.8</v>
      </c>
      <c r="O86" s="5" t="n">
        <v>30</v>
      </c>
      <c r="P86" s="5" t="n">
        <v>30</v>
      </c>
      <c r="Q86" s="5" t="n">
        <v>0</v>
      </c>
      <c r="R86" s="5" t="n">
        <v>0</v>
      </c>
      <c r="S86" s="5" t="n">
        <v>0</v>
      </c>
      <c r="T86" s="5" t="n">
        <v>0</v>
      </c>
      <c r="U86" s="8" t="n">
        <v>1</v>
      </c>
      <c r="V86" s="8" t="n">
        <v>189</v>
      </c>
      <c r="W86" s="8" t="n">
        <v>8.4</v>
      </c>
      <c r="X86" s="8" t="n">
        <v>168</v>
      </c>
      <c r="Y86" s="8" t="n">
        <v>189</v>
      </c>
      <c r="Z86" s="8" t="n">
        <v>630</v>
      </c>
      <c r="AA86" s="8" t="n">
        <v>0.0001</v>
      </c>
      <c r="AB86" s="8" t="n">
        <v>0.00015</v>
      </c>
      <c r="AC86" s="8" t="n">
        <v>1.5e-05</v>
      </c>
      <c r="AD86" s="2" t="inlineStr">
        <is>
          <t>原值保留；补值为算例假设，见字段说明</t>
        </is>
      </c>
    </row>
    <row r="87" ht="34" customHeight="1">
      <c r="A87" s="6" t="inlineStr">
        <is>
          <t>TH_0086</t>
        </is>
      </c>
      <c r="B87" s="6" t="inlineStr">
        <is>
          <t>930632000000000000</t>
        </is>
      </c>
      <c r="C87" s="5" t="inlineStr">
        <is>
          <t>扬州非统调</t>
        </is>
      </c>
      <c r="D87" s="5" t="n">
        <v>3</v>
      </c>
      <c r="E87" s="6" t="inlineStr">
        <is>
          <t>93043200000000</t>
        </is>
      </c>
      <c r="F87" s="5" t="n">
        <v>120</v>
      </c>
      <c r="G87" s="5" t="n">
        <v>72</v>
      </c>
      <c r="H87" s="5" t="n">
        <v>168</v>
      </c>
      <c r="I87" s="5" t="n">
        <v>72</v>
      </c>
      <c r="J87" s="5" t="n">
        <v>144</v>
      </c>
      <c r="K87" s="5" t="n">
        <v>144</v>
      </c>
      <c r="L87" s="5" t="n">
        <v>5e-06</v>
      </c>
      <c r="M87" s="5" t="n">
        <v>0.01</v>
      </c>
      <c r="N87" s="5" t="n">
        <v>0.5</v>
      </c>
      <c r="O87" s="5" t="n">
        <v>8</v>
      </c>
      <c r="P87" s="5" t="n">
        <v>8</v>
      </c>
      <c r="Q87" s="5" t="n">
        <v>0</v>
      </c>
      <c r="R87" s="5" t="n">
        <v>0</v>
      </c>
      <c r="S87" s="5" t="n">
        <v>0</v>
      </c>
      <c r="T87" s="5" t="n">
        <v>0</v>
      </c>
      <c r="U87" s="8" t="n">
        <v>1</v>
      </c>
      <c r="V87" s="8" t="n">
        <v>72</v>
      </c>
      <c r="W87" s="8" t="n">
        <v>8.4</v>
      </c>
      <c r="X87" s="8" t="n">
        <v>168</v>
      </c>
      <c r="Y87" s="8" t="n">
        <v>72</v>
      </c>
      <c r="Z87" s="8" t="n">
        <v>120</v>
      </c>
      <c r="AA87" s="8" t="n">
        <v>0.0001</v>
      </c>
      <c r="AB87" s="8" t="n">
        <v>0.00015</v>
      </c>
      <c r="AC87" s="8" t="n">
        <v>1.5e-05</v>
      </c>
      <c r="AD87" s="2" t="inlineStr">
        <is>
          <t>原值保留；补值为算例假设，见字段说明</t>
        </is>
      </c>
    </row>
    <row r="88" ht="34" customHeight="1">
      <c r="A88" s="6" t="inlineStr">
        <is>
          <t>TH_0087</t>
        </is>
      </c>
      <c r="B88" s="6" t="inlineStr">
        <is>
          <t>930632000000000000</t>
        </is>
      </c>
      <c r="C88" s="5" t="inlineStr">
        <is>
          <t>苏扬州_620.0机_Jm</t>
        </is>
      </c>
      <c r="D88" s="5" t="n">
        <v>3</v>
      </c>
      <c r="E88" s="6" t="inlineStr">
        <is>
          <t>93043200000000</t>
        </is>
      </c>
      <c r="F88" s="5" t="n">
        <v>330</v>
      </c>
      <c r="G88" s="5" t="n">
        <v>99</v>
      </c>
      <c r="H88" s="5" t="n">
        <v>168</v>
      </c>
      <c r="I88" s="5" t="n">
        <v>72</v>
      </c>
      <c r="J88" s="5" t="n">
        <v>396</v>
      </c>
      <c r="K88" s="5" t="n">
        <v>396</v>
      </c>
      <c r="L88" s="5" t="n">
        <v>5e-06</v>
      </c>
      <c r="M88" s="5" t="n">
        <v>0.01</v>
      </c>
      <c r="N88" s="5" t="n">
        <v>0.5</v>
      </c>
      <c r="O88" s="5" t="n">
        <v>8</v>
      </c>
      <c r="P88" s="5" t="n">
        <v>8</v>
      </c>
      <c r="Q88" s="5" t="n">
        <v>0</v>
      </c>
      <c r="R88" s="5" t="n">
        <v>0</v>
      </c>
      <c r="S88" s="5" t="n">
        <v>0</v>
      </c>
      <c r="T88" s="5" t="n">
        <v>0</v>
      </c>
      <c r="U88" s="8" t="n">
        <v>1</v>
      </c>
      <c r="V88" s="8" t="n">
        <v>99</v>
      </c>
      <c r="W88" s="8" t="n">
        <v>8.4</v>
      </c>
      <c r="X88" s="8" t="n">
        <v>168</v>
      </c>
      <c r="Y88" s="8" t="n">
        <v>99</v>
      </c>
      <c r="Z88" s="8" t="n">
        <v>330</v>
      </c>
      <c r="AA88" s="8" t="n">
        <v>0.0001</v>
      </c>
      <c r="AB88" s="8" t="n">
        <v>0.00015</v>
      </c>
      <c r="AC88" s="8" t="n">
        <v>1.5e-05</v>
      </c>
      <c r="AD88" s="2" t="inlineStr">
        <is>
          <t>原值保留；补值为算例假设，见字段说明</t>
        </is>
      </c>
    </row>
    <row r="89" ht="34" customHeight="1">
      <c r="A89" s="6" t="inlineStr">
        <is>
          <t>TH_0088</t>
        </is>
      </c>
      <c r="B89" s="6" t="inlineStr">
        <is>
          <t>930632000000000000</t>
        </is>
      </c>
      <c r="C89" s="5" t="inlineStr">
        <is>
          <t>苏扬州_720.0机_Jm</t>
        </is>
      </c>
      <c r="D89" s="5" t="n">
        <v>3</v>
      </c>
      <c r="E89" s="6" t="inlineStr">
        <is>
          <t>93043200000000</t>
        </is>
      </c>
      <c r="F89" s="5" t="n">
        <v>330</v>
      </c>
      <c r="G89" s="5" t="n">
        <v>99</v>
      </c>
      <c r="H89" s="5" t="n">
        <v>168</v>
      </c>
      <c r="I89" s="5" t="n">
        <v>72</v>
      </c>
      <c r="J89" s="5" t="n">
        <v>396</v>
      </c>
      <c r="K89" s="5" t="n">
        <v>396</v>
      </c>
      <c r="L89" s="5" t="n">
        <v>5e-06</v>
      </c>
      <c r="M89" s="5" t="n">
        <v>0.01</v>
      </c>
      <c r="N89" s="5" t="n">
        <v>0.5</v>
      </c>
      <c r="O89" s="5" t="n">
        <v>8</v>
      </c>
      <c r="P89" s="5" t="n">
        <v>8</v>
      </c>
      <c r="Q89" s="5" t="n">
        <v>0</v>
      </c>
      <c r="R89" s="5" t="n">
        <v>0</v>
      </c>
      <c r="S89" s="5" t="n">
        <v>0</v>
      </c>
      <c r="T89" s="5" t="n">
        <v>0</v>
      </c>
      <c r="U89" s="8" t="n">
        <v>1</v>
      </c>
      <c r="V89" s="8" t="n">
        <v>99</v>
      </c>
      <c r="W89" s="8" t="n">
        <v>8.4</v>
      </c>
      <c r="X89" s="8" t="n">
        <v>168</v>
      </c>
      <c r="Y89" s="8" t="n">
        <v>99</v>
      </c>
      <c r="Z89" s="8" t="n">
        <v>330</v>
      </c>
      <c r="AA89" s="8" t="n">
        <v>0.0001</v>
      </c>
      <c r="AB89" s="8" t="n">
        <v>0.00015</v>
      </c>
      <c r="AC89" s="8" t="n">
        <v>1.5e-05</v>
      </c>
      <c r="AD89" s="2" t="inlineStr">
        <is>
          <t>原值保留；补值为算例假设，见字段说明</t>
        </is>
      </c>
    </row>
    <row r="90" ht="34" customHeight="1">
      <c r="A90" s="6" t="inlineStr">
        <is>
          <t>TH_0089</t>
        </is>
      </c>
      <c r="B90" s="6" t="inlineStr">
        <is>
          <t>930632000000000000</t>
        </is>
      </c>
      <c r="C90" s="5" t="inlineStr">
        <is>
          <t>苏高港_327.0机_JM</t>
        </is>
      </c>
      <c r="D90" s="5" t="n">
        <v>3</v>
      </c>
      <c r="E90" s="6" t="inlineStr">
        <is>
          <t>93043200000000</t>
        </is>
      </c>
      <c r="F90" s="5" t="n">
        <v>1000</v>
      </c>
      <c r="G90" s="5" t="n">
        <v>300</v>
      </c>
      <c r="H90" s="5" t="n">
        <v>168</v>
      </c>
      <c r="I90" s="5" t="n">
        <v>72</v>
      </c>
      <c r="J90" s="5" t="n">
        <v>1200</v>
      </c>
      <c r="K90" s="5" t="n">
        <v>1200</v>
      </c>
      <c r="L90" s="5" t="n">
        <v>3e-06</v>
      </c>
      <c r="M90" s="5" t="n">
        <v>0.008</v>
      </c>
      <c r="N90" s="5" t="n">
        <v>0.8</v>
      </c>
      <c r="O90" s="5" t="n">
        <v>30</v>
      </c>
      <c r="P90" s="5" t="n">
        <v>30</v>
      </c>
      <c r="Q90" s="5" t="n">
        <v>0</v>
      </c>
      <c r="R90" s="5" t="n">
        <v>0</v>
      </c>
      <c r="S90" s="5" t="n">
        <v>0</v>
      </c>
      <c r="T90" s="5" t="n">
        <v>0</v>
      </c>
      <c r="U90" s="8" t="n">
        <v>1</v>
      </c>
      <c r="V90" s="8" t="n">
        <v>300</v>
      </c>
      <c r="W90" s="8" t="n">
        <v>8.4</v>
      </c>
      <c r="X90" s="8" t="n">
        <v>168</v>
      </c>
      <c r="Y90" s="8" t="n">
        <v>300</v>
      </c>
      <c r="Z90" s="8" t="n">
        <v>1000</v>
      </c>
      <c r="AA90" s="8" t="n">
        <v>0.0001</v>
      </c>
      <c r="AB90" s="8" t="n">
        <v>0.00015</v>
      </c>
      <c r="AC90" s="8" t="n">
        <v>1.5e-05</v>
      </c>
      <c r="AD90" s="2" t="inlineStr">
        <is>
          <t>原值保留；补值为算例假设，见字段说明</t>
        </is>
      </c>
    </row>
    <row r="91" ht="34" customHeight="1">
      <c r="A91" s="6" t="inlineStr">
        <is>
          <t>TH_0090</t>
        </is>
      </c>
      <c r="B91" s="6" t="inlineStr">
        <is>
          <t>930632000000000000</t>
        </is>
      </c>
      <c r="C91" s="5" t="inlineStr">
        <is>
          <t>苏高港_427.0机_JM</t>
        </is>
      </c>
      <c r="D91" s="5" t="n">
        <v>3</v>
      </c>
      <c r="E91" s="6" t="inlineStr">
        <is>
          <t>93043200000000</t>
        </is>
      </c>
      <c r="F91" s="5" t="n">
        <v>1000</v>
      </c>
      <c r="G91" s="5" t="n">
        <v>300</v>
      </c>
      <c r="H91" s="5" t="n">
        <v>168</v>
      </c>
      <c r="I91" s="5" t="n">
        <v>72</v>
      </c>
      <c r="J91" s="5" t="n">
        <v>1200</v>
      </c>
      <c r="K91" s="5" t="n">
        <v>1200</v>
      </c>
      <c r="L91" s="5" t="n">
        <v>3e-06</v>
      </c>
      <c r="M91" s="5" t="n">
        <v>0.008</v>
      </c>
      <c r="N91" s="5" t="n">
        <v>0.8</v>
      </c>
      <c r="O91" s="5" t="n">
        <v>30</v>
      </c>
      <c r="P91" s="5" t="n">
        <v>30</v>
      </c>
      <c r="Q91" s="5" t="n">
        <v>0</v>
      </c>
      <c r="R91" s="5" t="n">
        <v>0</v>
      </c>
      <c r="S91" s="5" t="n">
        <v>0</v>
      </c>
      <c r="T91" s="5" t="n">
        <v>0</v>
      </c>
      <c r="U91" s="8" t="n">
        <v>1</v>
      </c>
      <c r="V91" s="8" t="n">
        <v>300</v>
      </c>
      <c r="W91" s="8" t="n">
        <v>8.4</v>
      </c>
      <c r="X91" s="8" t="n">
        <v>168</v>
      </c>
      <c r="Y91" s="8" t="n">
        <v>300</v>
      </c>
      <c r="Z91" s="8" t="n">
        <v>1000</v>
      </c>
      <c r="AA91" s="8" t="n">
        <v>0.0001</v>
      </c>
      <c r="AB91" s="8" t="n">
        <v>0.00015</v>
      </c>
      <c r="AC91" s="8" t="n">
        <v>1.5e-05</v>
      </c>
      <c r="AD91" s="2" t="inlineStr">
        <is>
          <t>原值保留；补值为算例假设，见字段说明</t>
        </is>
      </c>
    </row>
    <row r="92" ht="34" customHeight="1">
      <c r="A92" s="6" t="inlineStr">
        <is>
          <t>TH_0091</t>
        </is>
      </c>
      <c r="B92" s="6" t="inlineStr">
        <is>
          <t>930632000000000000</t>
        </is>
      </c>
      <c r="C92" s="5" t="inlineStr">
        <is>
          <t>苏靖扩G127.0机_JM</t>
        </is>
      </c>
      <c r="D92" s="5" t="n">
        <v>3</v>
      </c>
      <c r="E92" s="6" t="inlineStr">
        <is>
          <t>93043200000000</t>
        </is>
      </c>
      <c r="F92" s="5" t="n">
        <v>1000</v>
      </c>
      <c r="G92" s="5" t="n">
        <v>300</v>
      </c>
      <c r="H92" s="5" t="n">
        <v>168</v>
      </c>
      <c r="I92" s="5" t="n">
        <v>72</v>
      </c>
      <c r="J92" s="5" t="n">
        <v>1200</v>
      </c>
      <c r="K92" s="5" t="n">
        <v>1200</v>
      </c>
      <c r="L92" s="5" t="n">
        <v>3e-06</v>
      </c>
      <c r="M92" s="5" t="n">
        <v>0.008</v>
      </c>
      <c r="N92" s="5" t="n">
        <v>0.8</v>
      </c>
      <c r="O92" s="5" t="n">
        <v>30</v>
      </c>
      <c r="P92" s="5" t="n">
        <v>30</v>
      </c>
      <c r="Q92" s="5" t="n">
        <v>0</v>
      </c>
      <c r="R92" s="5" t="n">
        <v>0</v>
      </c>
      <c r="S92" s="5" t="n">
        <v>0</v>
      </c>
      <c r="T92" s="5" t="n">
        <v>0</v>
      </c>
      <c r="U92" s="8" t="n">
        <v>1</v>
      </c>
      <c r="V92" s="8" t="n">
        <v>300</v>
      </c>
      <c r="W92" s="8" t="n">
        <v>8.4</v>
      </c>
      <c r="X92" s="8" t="n">
        <v>168</v>
      </c>
      <c r="Y92" s="8" t="n">
        <v>300</v>
      </c>
      <c r="Z92" s="8" t="n">
        <v>1000</v>
      </c>
      <c r="AA92" s="8" t="n">
        <v>0.0001</v>
      </c>
      <c r="AB92" s="8" t="n">
        <v>0.00015</v>
      </c>
      <c r="AC92" s="8" t="n">
        <v>1.5e-05</v>
      </c>
      <c r="AD92" s="2" t="inlineStr">
        <is>
          <t>原值保留；补值为算例假设，见字段说明</t>
        </is>
      </c>
    </row>
    <row r="93" ht="34" customHeight="1">
      <c r="A93" s="6" t="inlineStr">
        <is>
          <t>TH_0092</t>
        </is>
      </c>
      <c r="B93" s="6" t="inlineStr">
        <is>
          <t>930632000000000000</t>
        </is>
      </c>
      <c r="C93" s="5" t="inlineStr">
        <is>
          <t>苏靖扩G227.0机_JM</t>
        </is>
      </c>
      <c r="D93" s="5" t="n">
        <v>3</v>
      </c>
      <c r="E93" s="6" t="inlineStr">
        <is>
          <t>93043200000000</t>
        </is>
      </c>
      <c r="F93" s="5" t="n">
        <v>1000</v>
      </c>
      <c r="G93" s="5" t="n">
        <v>300</v>
      </c>
      <c r="H93" s="5" t="n">
        <v>168</v>
      </c>
      <c r="I93" s="5" t="n">
        <v>72</v>
      </c>
      <c r="J93" s="5" t="n">
        <v>1200</v>
      </c>
      <c r="K93" s="5" t="n">
        <v>1200</v>
      </c>
      <c r="L93" s="5" t="n">
        <v>3e-06</v>
      </c>
      <c r="M93" s="5" t="n">
        <v>0.008</v>
      </c>
      <c r="N93" s="5" t="n">
        <v>0.8</v>
      </c>
      <c r="O93" s="5" t="n">
        <v>30</v>
      </c>
      <c r="P93" s="5" t="n">
        <v>30</v>
      </c>
      <c r="Q93" s="5" t="n">
        <v>0</v>
      </c>
      <c r="R93" s="5" t="n">
        <v>0</v>
      </c>
      <c r="S93" s="5" t="n">
        <v>0</v>
      </c>
      <c r="T93" s="5" t="n">
        <v>0</v>
      </c>
      <c r="U93" s="8" t="n">
        <v>1</v>
      </c>
      <c r="V93" s="8" t="n">
        <v>300</v>
      </c>
      <c r="W93" s="8" t="n">
        <v>8.4</v>
      </c>
      <c r="X93" s="8" t="n">
        <v>168</v>
      </c>
      <c r="Y93" s="8" t="n">
        <v>300</v>
      </c>
      <c r="Z93" s="8" t="n">
        <v>1000</v>
      </c>
      <c r="AA93" s="8" t="n">
        <v>0.0001</v>
      </c>
      <c r="AB93" s="8" t="n">
        <v>0.00015</v>
      </c>
      <c r="AC93" s="8" t="n">
        <v>1.5e-05</v>
      </c>
      <c r="AD93" s="2" t="inlineStr">
        <is>
          <t>原值保留；补值为算例假设，见字段说明</t>
        </is>
      </c>
    </row>
    <row r="94" ht="34" customHeight="1">
      <c r="A94" s="6" t="inlineStr">
        <is>
          <t>TH_0093</t>
        </is>
      </c>
      <c r="B94" s="6" t="inlineStr">
        <is>
          <t>930632000000000000</t>
        </is>
      </c>
      <c r="C94" s="5" t="inlineStr">
        <is>
          <t>苏靖厂_120.0机_Jm</t>
        </is>
      </c>
      <c r="D94" s="5" t="n">
        <v>3</v>
      </c>
      <c r="E94" s="6" t="inlineStr">
        <is>
          <t>93043200000000</t>
        </is>
      </c>
      <c r="F94" s="5" t="n">
        <v>660</v>
      </c>
      <c r="G94" s="5" t="n">
        <v>198</v>
      </c>
      <c r="H94" s="5" t="n">
        <v>168</v>
      </c>
      <c r="I94" s="5" t="n">
        <v>72</v>
      </c>
      <c r="J94" s="5" t="n">
        <v>792</v>
      </c>
      <c r="K94" s="5" t="n">
        <v>792</v>
      </c>
      <c r="L94" s="5" t="n">
        <v>3e-06</v>
      </c>
      <c r="M94" s="5" t="n">
        <v>0.008</v>
      </c>
      <c r="N94" s="5" t="n">
        <v>0.8</v>
      </c>
      <c r="O94" s="5" t="n">
        <v>30</v>
      </c>
      <c r="P94" s="5" t="n">
        <v>30</v>
      </c>
      <c r="Q94" s="5" t="n">
        <v>0</v>
      </c>
      <c r="R94" s="5" t="n">
        <v>0</v>
      </c>
      <c r="S94" s="5" t="n">
        <v>0</v>
      </c>
      <c r="T94" s="5" t="n">
        <v>0</v>
      </c>
      <c r="U94" s="8" t="n">
        <v>1</v>
      </c>
      <c r="V94" s="8" t="n">
        <v>198</v>
      </c>
      <c r="W94" s="8" t="n">
        <v>8.4</v>
      </c>
      <c r="X94" s="8" t="n">
        <v>168</v>
      </c>
      <c r="Y94" s="8" t="n">
        <v>198</v>
      </c>
      <c r="Z94" s="8" t="n">
        <v>660</v>
      </c>
      <c r="AA94" s="8" t="n">
        <v>0.0001</v>
      </c>
      <c r="AB94" s="8" t="n">
        <v>0.00015</v>
      </c>
      <c r="AC94" s="8" t="n">
        <v>1.5e-05</v>
      </c>
      <c r="AD94" s="2" t="inlineStr">
        <is>
          <t>原值保留；补值为算例假设，见字段说明</t>
        </is>
      </c>
    </row>
    <row r="95" ht="34" customHeight="1">
      <c r="A95" s="6" t="inlineStr">
        <is>
          <t>TH_0094</t>
        </is>
      </c>
      <c r="B95" s="6" t="inlineStr">
        <is>
          <t>930632000000000000</t>
        </is>
      </c>
      <c r="C95" s="5" t="inlineStr">
        <is>
          <t>苏靖厂_220.0机_Jm</t>
        </is>
      </c>
      <c r="D95" s="5" t="n">
        <v>3</v>
      </c>
      <c r="E95" s="6" t="inlineStr">
        <is>
          <t>93043200000000</t>
        </is>
      </c>
      <c r="F95" s="5" t="n">
        <v>660</v>
      </c>
      <c r="G95" s="5" t="n">
        <v>198</v>
      </c>
      <c r="H95" s="5" t="n">
        <v>168</v>
      </c>
      <c r="I95" s="5" t="n">
        <v>72</v>
      </c>
      <c r="J95" s="5" t="n">
        <v>792</v>
      </c>
      <c r="K95" s="5" t="n">
        <v>792</v>
      </c>
      <c r="L95" s="5" t="n">
        <v>3e-06</v>
      </c>
      <c r="M95" s="5" t="n">
        <v>0.008</v>
      </c>
      <c r="N95" s="5" t="n">
        <v>0.8</v>
      </c>
      <c r="O95" s="5" t="n">
        <v>30</v>
      </c>
      <c r="P95" s="5" t="n">
        <v>30</v>
      </c>
      <c r="Q95" s="5" t="n">
        <v>0</v>
      </c>
      <c r="R95" s="5" t="n">
        <v>0</v>
      </c>
      <c r="S95" s="5" t="n">
        <v>0</v>
      </c>
      <c r="T95" s="5" t="n">
        <v>0</v>
      </c>
      <c r="U95" s="8" t="n">
        <v>1</v>
      </c>
      <c r="V95" s="8" t="n">
        <v>198</v>
      </c>
      <c r="W95" s="8" t="n">
        <v>8.4</v>
      </c>
      <c r="X95" s="8" t="n">
        <v>168</v>
      </c>
      <c r="Y95" s="8" t="n">
        <v>198</v>
      </c>
      <c r="Z95" s="8" t="n">
        <v>660</v>
      </c>
      <c r="AA95" s="8" t="n">
        <v>0.0001</v>
      </c>
      <c r="AB95" s="8" t="n">
        <v>0.00015</v>
      </c>
      <c r="AC95" s="8" t="n">
        <v>1.5e-05</v>
      </c>
      <c r="AD95" s="2" t="inlineStr">
        <is>
          <t>原值保留；补值为算例假设，见字段说明</t>
        </is>
      </c>
    </row>
    <row r="96" ht="34" customHeight="1">
      <c r="A96" s="6" t="inlineStr">
        <is>
          <t>TH_0095</t>
        </is>
      </c>
      <c r="B96" s="6" t="inlineStr">
        <is>
          <t>930632000000000000</t>
        </is>
      </c>
      <c r="C96" s="5" t="inlineStr">
        <is>
          <t>泰州非统调</t>
        </is>
      </c>
      <c r="D96" s="5" t="n">
        <v>3</v>
      </c>
      <c r="E96" s="6" t="inlineStr">
        <is>
          <t>93043200000000</t>
        </is>
      </c>
      <c r="F96" s="5" t="n">
        <v>120</v>
      </c>
      <c r="G96" s="5" t="n">
        <v>72</v>
      </c>
      <c r="H96" s="5" t="n">
        <v>168</v>
      </c>
      <c r="I96" s="5" t="n">
        <v>72</v>
      </c>
      <c r="J96" s="5" t="n">
        <v>144</v>
      </c>
      <c r="K96" s="5" t="n">
        <v>144</v>
      </c>
      <c r="L96" s="5" t="n">
        <v>5e-06</v>
      </c>
      <c r="M96" s="5" t="n">
        <v>0.01</v>
      </c>
      <c r="N96" s="5" t="n">
        <v>0.5</v>
      </c>
      <c r="O96" s="5" t="n">
        <v>8</v>
      </c>
      <c r="P96" s="5" t="n">
        <v>8</v>
      </c>
      <c r="Q96" s="5" t="n">
        <v>0</v>
      </c>
      <c r="R96" s="5" t="n">
        <v>0</v>
      </c>
      <c r="S96" s="5" t="n">
        <v>0</v>
      </c>
      <c r="T96" s="5" t="n">
        <v>0</v>
      </c>
      <c r="U96" s="8" t="n">
        <v>1</v>
      </c>
      <c r="V96" s="8" t="n">
        <v>72</v>
      </c>
      <c r="W96" s="8" t="n">
        <v>8.4</v>
      </c>
      <c r="X96" s="8" t="n">
        <v>168</v>
      </c>
      <c r="Y96" s="8" t="n">
        <v>72</v>
      </c>
      <c r="Z96" s="8" t="n">
        <v>120</v>
      </c>
      <c r="AA96" s="8" t="n">
        <v>0.0001</v>
      </c>
      <c r="AB96" s="8" t="n">
        <v>0.00015</v>
      </c>
      <c r="AC96" s="8" t="n">
        <v>1.5e-05</v>
      </c>
      <c r="AD96" s="2" t="inlineStr">
        <is>
          <t>原值保留；补值为算例假设，见字段说明</t>
        </is>
      </c>
    </row>
    <row r="97" ht="34" customHeight="1">
      <c r="A97" s="6" t="inlineStr">
        <is>
          <t>TH_0096</t>
        </is>
      </c>
      <c r="B97" s="6" t="inlineStr">
        <is>
          <t>930632000000000000</t>
        </is>
      </c>
      <c r="C97" s="5" t="inlineStr">
        <is>
          <t>徐州非统调</t>
        </is>
      </c>
      <c r="D97" s="5" t="n">
        <v>4</v>
      </c>
      <c r="E97" s="6" t="inlineStr">
        <is>
          <t>93043200000000</t>
        </is>
      </c>
      <c r="F97" s="5" t="n">
        <v>120</v>
      </c>
      <c r="G97" s="5" t="n">
        <v>72</v>
      </c>
      <c r="H97" s="5" t="n">
        <v>168</v>
      </c>
      <c r="I97" s="5" t="n">
        <v>72</v>
      </c>
      <c r="J97" s="5" t="n">
        <v>144</v>
      </c>
      <c r="K97" s="5" t="n">
        <v>144</v>
      </c>
      <c r="L97" s="5" t="n">
        <v>5e-06</v>
      </c>
      <c r="M97" s="5" t="n">
        <v>0.01</v>
      </c>
      <c r="N97" s="5" t="n">
        <v>0.5</v>
      </c>
      <c r="O97" s="5" t="n">
        <v>8</v>
      </c>
      <c r="P97" s="5" t="n">
        <v>8</v>
      </c>
      <c r="Q97" s="5" t="n">
        <v>0</v>
      </c>
      <c r="R97" s="5" t="n">
        <v>0</v>
      </c>
      <c r="S97" s="5" t="n">
        <v>0</v>
      </c>
      <c r="T97" s="5" t="n">
        <v>0</v>
      </c>
      <c r="U97" s="8" t="n">
        <v>1</v>
      </c>
      <c r="V97" s="8" t="n">
        <v>72</v>
      </c>
      <c r="W97" s="8" t="n">
        <v>8.4</v>
      </c>
      <c r="X97" s="8" t="n">
        <v>168</v>
      </c>
      <c r="Y97" s="8" t="n">
        <v>72</v>
      </c>
      <c r="Z97" s="8" t="n">
        <v>120</v>
      </c>
      <c r="AA97" s="8" t="n">
        <v>0.0001</v>
      </c>
      <c r="AB97" s="8" t="n">
        <v>0.00015</v>
      </c>
      <c r="AC97" s="8" t="n">
        <v>1.5e-05</v>
      </c>
      <c r="AD97" s="2" t="inlineStr">
        <is>
          <t>原值保留；补值为算例假设，见字段说明</t>
        </is>
      </c>
    </row>
    <row r="98" ht="34" customHeight="1">
      <c r="A98" s="6" t="inlineStr">
        <is>
          <t>TH_0097</t>
        </is>
      </c>
      <c r="B98" s="6" t="inlineStr">
        <is>
          <t>930632000000000000</t>
        </is>
      </c>
      <c r="C98" s="5" t="inlineStr">
        <is>
          <t>苏徐州_127.0机_JM</t>
        </is>
      </c>
      <c r="D98" s="5" t="n">
        <v>4</v>
      </c>
      <c r="E98" s="6" t="inlineStr">
        <is>
          <t>93043200000000</t>
        </is>
      </c>
      <c r="F98" s="5" t="n">
        <v>1000</v>
      </c>
      <c r="G98" s="5" t="n">
        <v>300</v>
      </c>
      <c r="H98" s="5" t="n">
        <v>168</v>
      </c>
      <c r="I98" s="5" t="n">
        <v>72</v>
      </c>
      <c r="J98" s="5" t="n">
        <v>1200</v>
      </c>
      <c r="K98" s="5" t="n">
        <v>1200</v>
      </c>
      <c r="L98" s="5" t="n">
        <v>3e-06</v>
      </c>
      <c r="M98" s="5" t="n">
        <v>0.008</v>
      </c>
      <c r="N98" s="5" t="n">
        <v>0.8</v>
      </c>
      <c r="O98" s="5" t="n">
        <v>30</v>
      </c>
      <c r="P98" s="5" t="n">
        <v>30</v>
      </c>
      <c r="Q98" s="5" t="n">
        <v>0</v>
      </c>
      <c r="R98" s="5" t="n">
        <v>0</v>
      </c>
      <c r="S98" s="5" t="n">
        <v>0</v>
      </c>
      <c r="T98" s="5" t="n">
        <v>0</v>
      </c>
      <c r="U98" s="8" t="n">
        <v>1</v>
      </c>
      <c r="V98" s="8" t="n">
        <v>300</v>
      </c>
      <c r="W98" s="8" t="n">
        <v>8.4</v>
      </c>
      <c r="X98" s="8" t="n">
        <v>168</v>
      </c>
      <c r="Y98" s="8" t="n">
        <v>300</v>
      </c>
      <c r="Z98" s="8" t="n">
        <v>1000</v>
      </c>
      <c r="AA98" s="8" t="n">
        <v>0.0001</v>
      </c>
      <c r="AB98" s="8" t="n">
        <v>0.00015</v>
      </c>
      <c r="AC98" s="8" t="n">
        <v>1.5e-05</v>
      </c>
      <c r="AD98" s="2" t="inlineStr">
        <is>
          <t>原值保留；补值为算例假设，见字段说明</t>
        </is>
      </c>
    </row>
    <row r="99" ht="34" customHeight="1">
      <c r="A99" s="6" t="inlineStr">
        <is>
          <t>TH_0098</t>
        </is>
      </c>
      <c r="B99" s="6" t="inlineStr">
        <is>
          <t>930632000000000000</t>
        </is>
      </c>
      <c r="C99" s="5" t="inlineStr">
        <is>
          <t>苏徐州_227.0机_JM</t>
        </is>
      </c>
      <c r="D99" s="5" t="n">
        <v>4</v>
      </c>
      <c r="E99" s="6" t="inlineStr">
        <is>
          <t>93043200000000</t>
        </is>
      </c>
      <c r="F99" s="5" t="n">
        <v>1000</v>
      </c>
      <c r="G99" s="5" t="n">
        <v>300</v>
      </c>
      <c r="H99" s="5" t="n">
        <v>168</v>
      </c>
      <c r="I99" s="5" t="n">
        <v>72</v>
      </c>
      <c r="J99" s="5" t="n">
        <v>1200</v>
      </c>
      <c r="K99" s="5" t="n">
        <v>1200</v>
      </c>
      <c r="L99" s="5" t="n">
        <v>3e-06</v>
      </c>
      <c r="M99" s="5" t="n">
        <v>0.008</v>
      </c>
      <c r="N99" s="5" t="n">
        <v>0.8</v>
      </c>
      <c r="O99" s="5" t="n">
        <v>30</v>
      </c>
      <c r="P99" s="5" t="n">
        <v>30</v>
      </c>
      <c r="Q99" s="5" t="n">
        <v>0</v>
      </c>
      <c r="R99" s="5" t="n">
        <v>0</v>
      </c>
      <c r="S99" s="5" t="n">
        <v>0</v>
      </c>
      <c r="T99" s="5" t="n">
        <v>0</v>
      </c>
      <c r="U99" s="8" t="n">
        <v>1</v>
      </c>
      <c r="V99" s="8" t="n">
        <v>300</v>
      </c>
      <c r="W99" s="8" t="n">
        <v>8.4</v>
      </c>
      <c r="X99" s="8" t="n">
        <v>168</v>
      </c>
      <c r="Y99" s="8" t="n">
        <v>300</v>
      </c>
      <c r="Z99" s="8" t="n">
        <v>1000</v>
      </c>
      <c r="AA99" s="8" t="n">
        <v>0.0001</v>
      </c>
      <c r="AB99" s="8" t="n">
        <v>0.00015</v>
      </c>
      <c r="AC99" s="8" t="n">
        <v>1.5e-05</v>
      </c>
      <c r="AD99" s="2" t="inlineStr">
        <is>
          <t>原值保留；补值为算例假设，见字段说明</t>
        </is>
      </c>
    </row>
    <row r="100" ht="34" customHeight="1">
      <c r="A100" s="6" t="inlineStr">
        <is>
          <t>TH_0099</t>
        </is>
      </c>
      <c r="B100" s="6" t="inlineStr">
        <is>
          <t>930632000000000000</t>
        </is>
      </c>
      <c r="C100" s="5" t="inlineStr">
        <is>
          <t>苏彭城_527.0机_JM</t>
        </is>
      </c>
      <c r="D100" s="5" t="n">
        <v>4</v>
      </c>
      <c r="E100" s="6" t="inlineStr">
        <is>
          <t>93043200000000</t>
        </is>
      </c>
      <c r="F100" s="5" t="n">
        <v>1000</v>
      </c>
      <c r="G100" s="5" t="n">
        <v>300</v>
      </c>
      <c r="H100" s="5" t="n">
        <v>168</v>
      </c>
      <c r="I100" s="5" t="n">
        <v>72</v>
      </c>
      <c r="J100" s="5" t="n">
        <v>1200</v>
      </c>
      <c r="K100" s="5" t="n">
        <v>1200</v>
      </c>
      <c r="L100" s="5" t="n">
        <v>3e-06</v>
      </c>
      <c r="M100" s="5" t="n">
        <v>0.008</v>
      </c>
      <c r="N100" s="5" t="n">
        <v>0.8</v>
      </c>
      <c r="O100" s="5" t="n">
        <v>30</v>
      </c>
      <c r="P100" s="5" t="n">
        <v>30</v>
      </c>
      <c r="Q100" s="5" t="n">
        <v>0</v>
      </c>
      <c r="R100" s="5" t="n">
        <v>0</v>
      </c>
      <c r="S100" s="5" t="n">
        <v>0</v>
      </c>
      <c r="T100" s="5" t="n">
        <v>0</v>
      </c>
      <c r="U100" s="8" t="n">
        <v>1</v>
      </c>
      <c r="V100" s="8" t="n">
        <v>300</v>
      </c>
      <c r="W100" s="8" t="n">
        <v>8.4</v>
      </c>
      <c r="X100" s="8" t="n">
        <v>168</v>
      </c>
      <c r="Y100" s="8" t="n">
        <v>300</v>
      </c>
      <c r="Z100" s="8" t="n">
        <v>1000</v>
      </c>
      <c r="AA100" s="8" t="n">
        <v>0.0001</v>
      </c>
      <c r="AB100" s="8" t="n">
        <v>0.00015</v>
      </c>
      <c r="AC100" s="8" t="n">
        <v>1.5e-05</v>
      </c>
      <c r="AD100" s="2" t="inlineStr">
        <is>
          <t>原值保留；补值为算例假设，见字段说明</t>
        </is>
      </c>
    </row>
    <row r="101" ht="34" customHeight="1">
      <c r="A101" s="6" t="inlineStr">
        <is>
          <t>TH_0100</t>
        </is>
      </c>
      <c r="B101" s="6" t="inlineStr">
        <is>
          <t>930632000000000000</t>
        </is>
      </c>
      <c r="C101" s="5" t="inlineStr">
        <is>
          <t>苏彭城_627.0机_JM</t>
        </is>
      </c>
      <c r="D101" s="5" t="n">
        <v>4</v>
      </c>
      <c r="E101" s="6" t="inlineStr">
        <is>
          <t>93043200000000</t>
        </is>
      </c>
      <c r="F101" s="5" t="n">
        <v>1000</v>
      </c>
      <c r="G101" s="5" t="n">
        <v>300</v>
      </c>
      <c r="H101" s="5" t="n">
        <v>168</v>
      </c>
      <c r="I101" s="5" t="n">
        <v>72</v>
      </c>
      <c r="J101" s="5" t="n">
        <v>1200</v>
      </c>
      <c r="K101" s="5" t="n">
        <v>1200</v>
      </c>
      <c r="L101" s="5" t="n">
        <v>3e-06</v>
      </c>
      <c r="M101" s="5" t="n">
        <v>0.008</v>
      </c>
      <c r="N101" s="5" t="n">
        <v>0.8</v>
      </c>
      <c r="O101" s="5" t="n">
        <v>30</v>
      </c>
      <c r="P101" s="5" t="n">
        <v>30</v>
      </c>
      <c r="Q101" s="5" t="n">
        <v>0</v>
      </c>
      <c r="R101" s="5" t="n">
        <v>0</v>
      </c>
      <c r="S101" s="5" t="n">
        <v>0</v>
      </c>
      <c r="T101" s="5" t="n">
        <v>0</v>
      </c>
      <c r="U101" s="8" t="n">
        <v>1</v>
      </c>
      <c r="V101" s="8" t="n">
        <v>300</v>
      </c>
      <c r="W101" s="8" t="n">
        <v>8.4</v>
      </c>
      <c r="X101" s="8" t="n">
        <v>168</v>
      </c>
      <c r="Y101" s="8" t="n">
        <v>300</v>
      </c>
      <c r="Z101" s="8" t="n">
        <v>1000</v>
      </c>
      <c r="AA101" s="8" t="n">
        <v>0.0001</v>
      </c>
      <c r="AB101" s="8" t="n">
        <v>0.00015</v>
      </c>
      <c r="AC101" s="8" t="n">
        <v>1.5e-05</v>
      </c>
      <c r="AD101" s="2" t="inlineStr">
        <is>
          <t>原值保留；补值为算例假设，见字段说明</t>
        </is>
      </c>
    </row>
    <row r="102" ht="34" customHeight="1">
      <c r="A102" s="6" t="inlineStr">
        <is>
          <t>TH_0101</t>
        </is>
      </c>
      <c r="B102" s="6" t="inlineStr">
        <is>
          <t>930632000000000000</t>
        </is>
      </c>
      <c r="C102" s="5" t="inlineStr">
        <is>
          <t>苏阚山_120.0机_JM</t>
        </is>
      </c>
      <c r="D102" s="5" t="n">
        <v>4</v>
      </c>
      <c r="E102" s="6" t="inlineStr">
        <is>
          <t>93043200000000</t>
        </is>
      </c>
      <c r="F102" s="5" t="n">
        <v>600</v>
      </c>
      <c r="G102" s="5" t="n">
        <v>180</v>
      </c>
      <c r="H102" s="5" t="n">
        <v>168</v>
      </c>
      <c r="I102" s="5" t="n">
        <v>72</v>
      </c>
      <c r="J102" s="5" t="n">
        <v>720</v>
      </c>
      <c r="K102" s="5" t="n">
        <v>720</v>
      </c>
      <c r="L102" s="5" t="n">
        <v>5e-06</v>
      </c>
      <c r="M102" s="5" t="n">
        <v>0.01</v>
      </c>
      <c r="N102" s="5" t="n">
        <v>0.5</v>
      </c>
      <c r="O102" s="5" t="n">
        <v>8</v>
      </c>
      <c r="P102" s="5" t="n">
        <v>8</v>
      </c>
      <c r="Q102" s="5" t="n">
        <v>0</v>
      </c>
      <c r="R102" s="5" t="n">
        <v>0</v>
      </c>
      <c r="S102" s="5" t="n">
        <v>0</v>
      </c>
      <c r="T102" s="5" t="n">
        <v>0</v>
      </c>
      <c r="U102" s="8" t="n">
        <v>1</v>
      </c>
      <c r="V102" s="8" t="n">
        <v>180</v>
      </c>
      <c r="W102" s="8" t="n">
        <v>8.4</v>
      </c>
      <c r="X102" s="8" t="n">
        <v>168</v>
      </c>
      <c r="Y102" s="8" t="n">
        <v>180</v>
      </c>
      <c r="Z102" s="8" t="n">
        <v>600</v>
      </c>
      <c r="AA102" s="8" t="n">
        <v>0.0001</v>
      </c>
      <c r="AB102" s="8" t="n">
        <v>0.00015</v>
      </c>
      <c r="AC102" s="8" t="n">
        <v>1.5e-05</v>
      </c>
      <c r="AD102" s="2" t="inlineStr">
        <is>
          <t>原值保留；补值为算例假设，见字段说明</t>
        </is>
      </c>
    </row>
    <row r="103" ht="34" customHeight="1">
      <c r="A103" s="6" t="inlineStr">
        <is>
          <t>TH_0102</t>
        </is>
      </c>
      <c r="B103" s="6" t="inlineStr">
        <is>
          <t>930632000000000000</t>
        </is>
      </c>
      <c r="C103" s="5" t="inlineStr">
        <is>
          <t>苏阚山_220.0机_JM</t>
        </is>
      </c>
      <c r="D103" s="5" t="n">
        <v>4</v>
      </c>
      <c r="E103" s="6" t="inlineStr">
        <is>
          <t>93043200000000</t>
        </is>
      </c>
      <c r="F103" s="5" t="n">
        <v>600</v>
      </c>
      <c r="G103" s="5" t="n">
        <v>180</v>
      </c>
      <c r="H103" s="5" t="n">
        <v>168</v>
      </c>
      <c r="I103" s="5" t="n">
        <v>72</v>
      </c>
      <c r="J103" s="5" t="n">
        <v>720</v>
      </c>
      <c r="K103" s="5" t="n">
        <v>720</v>
      </c>
      <c r="L103" s="5" t="n">
        <v>5e-06</v>
      </c>
      <c r="M103" s="5" t="n">
        <v>0.01</v>
      </c>
      <c r="N103" s="5" t="n">
        <v>0.5</v>
      </c>
      <c r="O103" s="5" t="n">
        <v>8</v>
      </c>
      <c r="P103" s="5" t="n">
        <v>8</v>
      </c>
      <c r="Q103" s="5" t="n">
        <v>0</v>
      </c>
      <c r="R103" s="5" t="n">
        <v>0</v>
      </c>
      <c r="S103" s="5" t="n">
        <v>0</v>
      </c>
      <c r="T103" s="5" t="n">
        <v>0</v>
      </c>
      <c r="U103" s="8" t="n">
        <v>1</v>
      </c>
      <c r="V103" s="8" t="n">
        <v>180</v>
      </c>
      <c r="W103" s="8" t="n">
        <v>8.4</v>
      </c>
      <c r="X103" s="8" t="n">
        <v>168</v>
      </c>
      <c r="Y103" s="8" t="n">
        <v>180</v>
      </c>
      <c r="Z103" s="8" t="n">
        <v>600</v>
      </c>
      <c r="AA103" s="8" t="n">
        <v>0.0001</v>
      </c>
      <c r="AB103" s="8" t="n">
        <v>0.00015</v>
      </c>
      <c r="AC103" s="8" t="n">
        <v>1.5e-05</v>
      </c>
      <c r="AD103" s="2" t="inlineStr">
        <is>
          <t>原值保留；补值为算例假设，见字段说明</t>
        </is>
      </c>
    </row>
    <row r="104" ht="34" customHeight="1">
      <c r="A104" s="6" t="inlineStr">
        <is>
          <t>TH_0103</t>
        </is>
      </c>
      <c r="B104" s="6" t="inlineStr">
        <is>
          <t>930632000000000000</t>
        </is>
      </c>
      <c r="C104" s="5" t="inlineStr">
        <is>
          <t>苏屯新_723.0机_Jm</t>
        </is>
      </c>
      <c r="D104" s="5" t="n">
        <v>4</v>
      </c>
      <c r="E104" s="6" t="inlineStr">
        <is>
          <t>93043200000000</t>
        </is>
      </c>
      <c r="F104" s="5" t="n">
        <v>350</v>
      </c>
      <c r="G104" s="5" t="n">
        <v>105</v>
      </c>
      <c r="H104" s="5" t="n">
        <v>168</v>
      </c>
      <c r="I104" s="5" t="n">
        <v>72</v>
      </c>
      <c r="J104" s="5" t="n">
        <v>420</v>
      </c>
      <c r="K104" s="5" t="n">
        <v>420</v>
      </c>
      <c r="L104" s="5" t="n">
        <v>5e-06</v>
      </c>
      <c r="M104" s="5" t="n">
        <v>0.01</v>
      </c>
      <c r="N104" s="5" t="n">
        <v>0.5</v>
      </c>
      <c r="O104" s="5" t="n">
        <v>8</v>
      </c>
      <c r="P104" s="5" t="n">
        <v>8</v>
      </c>
      <c r="Q104" s="5" t="n">
        <v>0</v>
      </c>
      <c r="R104" s="5" t="n">
        <v>0</v>
      </c>
      <c r="S104" s="5" t="n">
        <v>0</v>
      </c>
      <c r="T104" s="5" t="n">
        <v>0</v>
      </c>
      <c r="U104" s="8" t="n">
        <v>1</v>
      </c>
      <c r="V104" s="8" t="n">
        <v>105</v>
      </c>
      <c r="W104" s="8" t="n">
        <v>8.4</v>
      </c>
      <c r="X104" s="8" t="n">
        <v>168</v>
      </c>
      <c r="Y104" s="8" t="n">
        <v>105</v>
      </c>
      <c r="Z104" s="8" t="n">
        <v>350</v>
      </c>
      <c r="AA104" s="8" t="n">
        <v>0.0001</v>
      </c>
      <c r="AB104" s="8" t="n">
        <v>0.00015</v>
      </c>
      <c r="AC104" s="8" t="n">
        <v>1.5e-05</v>
      </c>
      <c r="AD104" s="2" t="inlineStr">
        <is>
          <t>原值保留；补值为算例假设，见字段说明</t>
        </is>
      </c>
    </row>
    <row r="105" ht="34" customHeight="1">
      <c r="A105" s="6" t="inlineStr">
        <is>
          <t>TH_0104</t>
        </is>
      </c>
      <c r="B105" s="6" t="inlineStr">
        <is>
          <t>930632000000000000</t>
        </is>
      </c>
      <c r="C105" s="5" t="inlineStr">
        <is>
          <t>苏屯新_823.0机_Jm</t>
        </is>
      </c>
      <c r="D105" s="5" t="n">
        <v>4</v>
      </c>
      <c r="E105" s="6" t="inlineStr">
        <is>
          <t>93043200000000</t>
        </is>
      </c>
      <c r="F105" s="5" t="n">
        <v>350</v>
      </c>
      <c r="G105" s="5" t="n">
        <v>105</v>
      </c>
      <c r="H105" s="5" t="n">
        <v>168</v>
      </c>
      <c r="I105" s="5" t="n">
        <v>72</v>
      </c>
      <c r="J105" s="5" t="n">
        <v>420</v>
      </c>
      <c r="K105" s="5" t="n">
        <v>420</v>
      </c>
      <c r="L105" s="5" t="n">
        <v>5e-06</v>
      </c>
      <c r="M105" s="5" t="n">
        <v>0.01</v>
      </c>
      <c r="N105" s="5" t="n">
        <v>0.5</v>
      </c>
      <c r="O105" s="5" t="n">
        <v>8</v>
      </c>
      <c r="P105" s="5" t="n">
        <v>8</v>
      </c>
      <c r="Q105" s="5" t="n">
        <v>0</v>
      </c>
      <c r="R105" s="5" t="n">
        <v>0</v>
      </c>
      <c r="S105" s="5" t="n">
        <v>0</v>
      </c>
      <c r="T105" s="5" t="n">
        <v>0</v>
      </c>
      <c r="U105" s="8" t="n">
        <v>1</v>
      </c>
      <c r="V105" s="8" t="n">
        <v>105</v>
      </c>
      <c r="W105" s="8" t="n">
        <v>8.4</v>
      </c>
      <c r="X105" s="8" t="n">
        <v>168</v>
      </c>
      <c r="Y105" s="8" t="n">
        <v>105</v>
      </c>
      <c r="Z105" s="8" t="n">
        <v>350</v>
      </c>
      <c r="AA105" s="8" t="n">
        <v>0.0001</v>
      </c>
      <c r="AB105" s="8" t="n">
        <v>0.00015</v>
      </c>
      <c r="AC105" s="8" t="n">
        <v>1.5e-05</v>
      </c>
      <c r="AD105" s="2" t="inlineStr">
        <is>
          <t>原值保留；补值为算例假设，见字段说明</t>
        </is>
      </c>
    </row>
    <row r="106" ht="34" customHeight="1">
      <c r="A106" s="6" t="inlineStr">
        <is>
          <t>TH_0105</t>
        </is>
      </c>
      <c r="B106" s="6" t="inlineStr">
        <is>
          <t>930632000000000000</t>
        </is>
      </c>
      <c r="C106" s="5" t="inlineStr">
        <is>
          <t>苏矿华_120.0机_Jm</t>
        </is>
      </c>
      <c r="D106" s="5" t="n">
        <v>4</v>
      </c>
      <c r="E106" s="6" t="inlineStr">
        <is>
          <t>93043200000000</t>
        </is>
      </c>
      <c r="F106" s="5" t="n">
        <v>350</v>
      </c>
      <c r="G106" s="5" t="n">
        <v>105</v>
      </c>
      <c r="H106" s="5" t="n">
        <v>168</v>
      </c>
      <c r="I106" s="5" t="n">
        <v>72</v>
      </c>
      <c r="J106" s="5" t="n">
        <v>420</v>
      </c>
      <c r="K106" s="5" t="n">
        <v>420</v>
      </c>
      <c r="L106" s="5" t="n">
        <v>5e-06</v>
      </c>
      <c r="M106" s="5" t="n">
        <v>0.01</v>
      </c>
      <c r="N106" s="5" t="n">
        <v>0.5</v>
      </c>
      <c r="O106" s="5" t="n">
        <v>8</v>
      </c>
      <c r="P106" s="5" t="n">
        <v>8</v>
      </c>
      <c r="Q106" s="5" t="n">
        <v>0</v>
      </c>
      <c r="R106" s="5" t="n">
        <v>0</v>
      </c>
      <c r="S106" s="5" t="n">
        <v>0</v>
      </c>
      <c r="T106" s="5" t="n">
        <v>0</v>
      </c>
      <c r="U106" s="8" t="n">
        <v>1</v>
      </c>
      <c r="V106" s="8" t="n">
        <v>105</v>
      </c>
      <c r="W106" s="8" t="n">
        <v>8.4</v>
      </c>
      <c r="X106" s="8" t="n">
        <v>168</v>
      </c>
      <c r="Y106" s="8" t="n">
        <v>105</v>
      </c>
      <c r="Z106" s="8" t="n">
        <v>350</v>
      </c>
      <c r="AA106" s="8" t="n">
        <v>0.0001</v>
      </c>
      <c r="AB106" s="8" t="n">
        <v>0.00015</v>
      </c>
      <c r="AC106" s="8" t="n">
        <v>1.5e-05</v>
      </c>
      <c r="AD106" s="2" t="inlineStr">
        <is>
          <t>原值保留；补值为算例假设，见字段说明</t>
        </is>
      </c>
    </row>
    <row r="107" ht="34" customHeight="1">
      <c r="A107" s="6" t="inlineStr">
        <is>
          <t>TH_0106</t>
        </is>
      </c>
      <c r="B107" s="6" t="inlineStr">
        <is>
          <t>930632000000000000</t>
        </is>
      </c>
      <c r="C107" s="5" t="inlineStr">
        <is>
          <t>苏矿华_220.0机_Jm</t>
        </is>
      </c>
      <c r="D107" s="5" t="n">
        <v>4</v>
      </c>
      <c r="E107" s="6" t="inlineStr">
        <is>
          <t>93043200000000</t>
        </is>
      </c>
      <c r="F107" s="5" t="n">
        <v>350</v>
      </c>
      <c r="G107" s="5" t="n">
        <v>105</v>
      </c>
      <c r="H107" s="5" t="n">
        <v>168</v>
      </c>
      <c r="I107" s="5" t="n">
        <v>72</v>
      </c>
      <c r="J107" s="5" t="n">
        <v>420</v>
      </c>
      <c r="K107" s="5" t="n">
        <v>420</v>
      </c>
      <c r="L107" s="5" t="n">
        <v>5e-06</v>
      </c>
      <c r="M107" s="5" t="n">
        <v>0.01</v>
      </c>
      <c r="N107" s="5" t="n">
        <v>0.5</v>
      </c>
      <c r="O107" s="5" t="n">
        <v>8</v>
      </c>
      <c r="P107" s="5" t="n">
        <v>8</v>
      </c>
      <c r="Q107" s="5" t="n">
        <v>0</v>
      </c>
      <c r="R107" s="5" t="n">
        <v>0</v>
      </c>
      <c r="S107" s="5" t="n">
        <v>0</v>
      </c>
      <c r="T107" s="5" t="n">
        <v>0</v>
      </c>
      <c r="U107" s="8" t="n">
        <v>1</v>
      </c>
      <c r="V107" s="8" t="n">
        <v>105</v>
      </c>
      <c r="W107" s="8" t="n">
        <v>8.4</v>
      </c>
      <c r="X107" s="8" t="n">
        <v>168</v>
      </c>
      <c r="Y107" s="8" t="n">
        <v>105</v>
      </c>
      <c r="Z107" s="8" t="n">
        <v>350</v>
      </c>
      <c r="AA107" s="8" t="n">
        <v>0.0001</v>
      </c>
      <c r="AB107" s="8" t="n">
        <v>0.00015</v>
      </c>
      <c r="AC107" s="8" t="n">
        <v>1.5e-05</v>
      </c>
      <c r="AD107" s="2" t="inlineStr">
        <is>
          <t>原值保留；补值为算例假设，见字段说明</t>
        </is>
      </c>
    </row>
    <row r="108" ht="34" customHeight="1">
      <c r="A108" s="6" t="inlineStr">
        <is>
          <t>TH_0107</t>
        </is>
      </c>
      <c r="B108" s="6" t="inlineStr">
        <is>
          <t>930632000000000000</t>
        </is>
      </c>
      <c r="C108" s="5" t="inlineStr">
        <is>
          <t>苏徐协_122.0机_Jm</t>
        </is>
      </c>
      <c r="D108" s="5" t="n">
        <v>4</v>
      </c>
      <c r="E108" s="6" t="inlineStr">
        <is>
          <t>93043200000000</t>
        </is>
      </c>
      <c r="F108" s="5" t="n">
        <v>350</v>
      </c>
      <c r="G108" s="5" t="n">
        <v>105</v>
      </c>
      <c r="H108" s="5" t="n">
        <v>168</v>
      </c>
      <c r="I108" s="5" t="n">
        <v>72</v>
      </c>
      <c r="J108" s="5" t="n">
        <v>420</v>
      </c>
      <c r="K108" s="5" t="n">
        <v>420</v>
      </c>
      <c r="L108" s="5" t="n">
        <v>5e-06</v>
      </c>
      <c r="M108" s="5" t="n">
        <v>0.01</v>
      </c>
      <c r="N108" s="5" t="n">
        <v>0.5</v>
      </c>
      <c r="O108" s="5" t="n">
        <v>8</v>
      </c>
      <c r="P108" s="5" t="n">
        <v>8</v>
      </c>
      <c r="Q108" s="5" t="n">
        <v>0</v>
      </c>
      <c r="R108" s="5" t="n">
        <v>0</v>
      </c>
      <c r="S108" s="5" t="n">
        <v>0</v>
      </c>
      <c r="T108" s="5" t="n">
        <v>0</v>
      </c>
      <c r="U108" s="8" t="n">
        <v>1</v>
      </c>
      <c r="V108" s="8" t="n">
        <v>105</v>
      </c>
      <c r="W108" s="8" t="n">
        <v>8.4</v>
      </c>
      <c r="X108" s="8" t="n">
        <v>168</v>
      </c>
      <c r="Y108" s="8" t="n">
        <v>105</v>
      </c>
      <c r="Z108" s="8" t="n">
        <v>350</v>
      </c>
      <c r="AA108" s="8" t="n">
        <v>0.0001</v>
      </c>
      <c r="AB108" s="8" t="n">
        <v>0.00015</v>
      </c>
      <c r="AC108" s="8" t="n">
        <v>1.5e-05</v>
      </c>
      <c r="AD108" s="2" t="inlineStr">
        <is>
          <t>原值保留；补值为算例假设，见字段说明</t>
        </is>
      </c>
    </row>
    <row r="109" ht="34" customHeight="1">
      <c r="A109" s="6" t="inlineStr">
        <is>
          <t>TH_0108</t>
        </is>
      </c>
      <c r="B109" s="6" t="inlineStr">
        <is>
          <t>930632000000000000</t>
        </is>
      </c>
      <c r="C109" s="5" t="inlineStr">
        <is>
          <t>苏徐二_120.0机_JM</t>
        </is>
      </c>
      <c r="D109" s="5" t="n">
        <v>4</v>
      </c>
      <c r="E109" s="6" t="inlineStr">
        <is>
          <t>93043200000000</t>
        </is>
      </c>
      <c r="F109" s="5" t="n">
        <v>330</v>
      </c>
      <c r="G109" s="5" t="n">
        <v>99</v>
      </c>
      <c r="H109" s="5" t="n">
        <v>168</v>
      </c>
      <c r="I109" s="5" t="n">
        <v>72</v>
      </c>
      <c r="J109" s="5" t="n">
        <v>396</v>
      </c>
      <c r="K109" s="5" t="n">
        <v>396</v>
      </c>
      <c r="L109" s="5" t="n">
        <v>5e-06</v>
      </c>
      <c r="M109" s="5" t="n">
        <v>0.01</v>
      </c>
      <c r="N109" s="5" t="n">
        <v>0.5</v>
      </c>
      <c r="O109" s="5" t="n">
        <v>8</v>
      </c>
      <c r="P109" s="5" t="n">
        <v>8</v>
      </c>
      <c r="Q109" s="5" t="n">
        <v>0</v>
      </c>
      <c r="R109" s="5" t="n">
        <v>0</v>
      </c>
      <c r="S109" s="5" t="n">
        <v>0</v>
      </c>
      <c r="T109" s="5" t="n">
        <v>0</v>
      </c>
      <c r="U109" s="8" t="n">
        <v>1</v>
      </c>
      <c r="V109" s="8" t="n">
        <v>99</v>
      </c>
      <c r="W109" s="8" t="n">
        <v>8.4</v>
      </c>
      <c r="X109" s="8" t="n">
        <v>168</v>
      </c>
      <c r="Y109" s="8" t="n">
        <v>99</v>
      </c>
      <c r="Z109" s="8" t="n">
        <v>330</v>
      </c>
      <c r="AA109" s="8" t="n">
        <v>0.0001</v>
      </c>
      <c r="AB109" s="8" t="n">
        <v>0.00015</v>
      </c>
      <c r="AC109" s="8" t="n">
        <v>1.5e-05</v>
      </c>
      <c r="AD109" s="2" t="inlineStr">
        <is>
          <t>原值保留；补值为算例假设，见字段说明</t>
        </is>
      </c>
    </row>
    <row r="110" ht="34" customHeight="1">
      <c r="A110" s="6" t="inlineStr">
        <is>
          <t>TH_0109</t>
        </is>
      </c>
      <c r="B110" s="6" t="inlineStr">
        <is>
          <t>930632000000000000</t>
        </is>
      </c>
      <c r="C110" s="5" t="inlineStr">
        <is>
          <t>苏徐二_220.0机_JM</t>
        </is>
      </c>
      <c r="D110" s="5" t="n">
        <v>4</v>
      </c>
      <c r="E110" s="6" t="inlineStr">
        <is>
          <t>93043200000000</t>
        </is>
      </c>
      <c r="F110" s="5" t="n">
        <v>330</v>
      </c>
      <c r="G110" s="5" t="n">
        <v>99</v>
      </c>
      <c r="H110" s="5" t="n">
        <v>168</v>
      </c>
      <c r="I110" s="5" t="n">
        <v>72</v>
      </c>
      <c r="J110" s="5" t="n">
        <v>396</v>
      </c>
      <c r="K110" s="5" t="n">
        <v>396</v>
      </c>
      <c r="L110" s="5" t="n">
        <v>5e-06</v>
      </c>
      <c r="M110" s="5" t="n">
        <v>0.01</v>
      </c>
      <c r="N110" s="5" t="n">
        <v>0.5</v>
      </c>
      <c r="O110" s="5" t="n">
        <v>8</v>
      </c>
      <c r="P110" s="5" t="n">
        <v>8</v>
      </c>
      <c r="Q110" s="5" t="n">
        <v>0</v>
      </c>
      <c r="R110" s="5" t="n">
        <v>0</v>
      </c>
      <c r="S110" s="5" t="n">
        <v>0</v>
      </c>
      <c r="T110" s="5" t="n">
        <v>0</v>
      </c>
      <c r="U110" s="8" t="n">
        <v>1</v>
      </c>
      <c r="V110" s="8" t="n">
        <v>99</v>
      </c>
      <c r="W110" s="8" t="n">
        <v>8.4</v>
      </c>
      <c r="X110" s="8" t="n">
        <v>168</v>
      </c>
      <c r="Y110" s="8" t="n">
        <v>99</v>
      </c>
      <c r="Z110" s="8" t="n">
        <v>330</v>
      </c>
      <c r="AA110" s="8" t="n">
        <v>0.0001</v>
      </c>
      <c r="AB110" s="8" t="n">
        <v>0.00015</v>
      </c>
      <c r="AC110" s="8" t="n">
        <v>1.5e-05</v>
      </c>
      <c r="AD110" s="2" t="inlineStr">
        <is>
          <t>原值保留；补值为算例假设，见字段说明</t>
        </is>
      </c>
    </row>
    <row r="111" ht="34" customHeight="1">
      <c r="A111" s="6" t="inlineStr">
        <is>
          <t>TH_0110</t>
        </is>
      </c>
      <c r="B111" s="6" t="inlineStr">
        <is>
          <t>930632000000000000</t>
        </is>
      </c>
      <c r="C111" s="5" t="inlineStr">
        <is>
          <t>苏徐塘_620.0机_Jm</t>
        </is>
      </c>
      <c r="D111" s="5" t="n">
        <v>4</v>
      </c>
      <c r="E111" s="6" t="inlineStr">
        <is>
          <t>93043200000000</t>
        </is>
      </c>
      <c r="F111" s="5" t="n">
        <v>330</v>
      </c>
      <c r="G111" s="5" t="n">
        <v>99</v>
      </c>
      <c r="H111" s="5" t="n">
        <v>168</v>
      </c>
      <c r="I111" s="5" t="n">
        <v>72</v>
      </c>
      <c r="J111" s="5" t="n">
        <v>396</v>
      </c>
      <c r="K111" s="5" t="n">
        <v>396</v>
      </c>
      <c r="L111" s="5" t="n">
        <v>5e-06</v>
      </c>
      <c r="M111" s="5" t="n">
        <v>0.01</v>
      </c>
      <c r="N111" s="5" t="n">
        <v>0.5</v>
      </c>
      <c r="O111" s="5" t="n">
        <v>8</v>
      </c>
      <c r="P111" s="5" t="n">
        <v>8</v>
      </c>
      <c r="Q111" s="5" t="n">
        <v>0</v>
      </c>
      <c r="R111" s="5" t="n">
        <v>0</v>
      </c>
      <c r="S111" s="5" t="n">
        <v>0</v>
      </c>
      <c r="T111" s="5" t="n">
        <v>0</v>
      </c>
      <c r="U111" s="8" t="n">
        <v>1</v>
      </c>
      <c r="V111" s="8" t="n">
        <v>99</v>
      </c>
      <c r="W111" s="8" t="n">
        <v>8.4</v>
      </c>
      <c r="X111" s="8" t="n">
        <v>168</v>
      </c>
      <c r="Y111" s="8" t="n">
        <v>99</v>
      </c>
      <c r="Z111" s="8" t="n">
        <v>330</v>
      </c>
      <c r="AA111" s="8" t="n">
        <v>0.0001</v>
      </c>
      <c r="AB111" s="8" t="n">
        <v>0.00015</v>
      </c>
      <c r="AC111" s="8" t="n">
        <v>1.5e-05</v>
      </c>
      <c r="AD111" s="2" t="inlineStr">
        <is>
          <t>原值保留；补值为算例假设，见字段说明</t>
        </is>
      </c>
    </row>
    <row r="112" ht="34" customHeight="1">
      <c r="A112" s="6" t="inlineStr">
        <is>
          <t>TH_0111</t>
        </is>
      </c>
      <c r="B112" s="6" t="inlineStr">
        <is>
          <t>930632000000000000</t>
        </is>
      </c>
      <c r="C112" s="5" t="inlineStr">
        <is>
          <t>苏徐塘_720.0机_Jm</t>
        </is>
      </c>
      <c r="D112" s="5" t="n">
        <v>4</v>
      </c>
      <c r="E112" s="6" t="inlineStr">
        <is>
          <t>93043200000000</t>
        </is>
      </c>
      <c r="F112" s="5" t="n">
        <v>330</v>
      </c>
      <c r="G112" s="5" t="n">
        <v>99</v>
      </c>
      <c r="H112" s="5" t="n">
        <v>168</v>
      </c>
      <c r="I112" s="5" t="n">
        <v>72</v>
      </c>
      <c r="J112" s="5" t="n">
        <v>396</v>
      </c>
      <c r="K112" s="5" t="n">
        <v>396</v>
      </c>
      <c r="L112" s="5" t="n">
        <v>5e-06</v>
      </c>
      <c r="M112" s="5" t="n">
        <v>0.01</v>
      </c>
      <c r="N112" s="5" t="n">
        <v>0.5</v>
      </c>
      <c r="O112" s="5" t="n">
        <v>8</v>
      </c>
      <c r="P112" s="5" t="n">
        <v>8</v>
      </c>
      <c r="Q112" s="5" t="n">
        <v>0</v>
      </c>
      <c r="R112" s="5" t="n">
        <v>0</v>
      </c>
      <c r="S112" s="5" t="n">
        <v>0</v>
      </c>
      <c r="T112" s="5" t="n">
        <v>0</v>
      </c>
      <c r="U112" s="8" t="n">
        <v>1</v>
      </c>
      <c r="V112" s="8" t="n">
        <v>99</v>
      </c>
      <c r="W112" s="8" t="n">
        <v>8.4</v>
      </c>
      <c r="X112" s="8" t="n">
        <v>168</v>
      </c>
      <c r="Y112" s="8" t="n">
        <v>99</v>
      </c>
      <c r="Z112" s="8" t="n">
        <v>330</v>
      </c>
      <c r="AA112" s="8" t="n">
        <v>0.0001</v>
      </c>
      <c r="AB112" s="8" t="n">
        <v>0.00015</v>
      </c>
      <c r="AC112" s="8" t="n">
        <v>1.5e-05</v>
      </c>
      <c r="AD112" s="2" t="inlineStr">
        <is>
          <t>原值保留；补值为算例假设，见字段说明</t>
        </is>
      </c>
    </row>
    <row r="113" ht="34" customHeight="1">
      <c r="A113" s="6" t="inlineStr">
        <is>
          <t>TH_0112</t>
        </is>
      </c>
      <c r="B113" s="6" t="inlineStr">
        <is>
          <t>930632000000000000</t>
        </is>
      </c>
      <c r="C113" s="5" t="inlineStr">
        <is>
          <t>苏彭城_120.0机_Jm</t>
        </is>
      </c>
      <c r="D113" s="5" t="n">
        <v>4</v>
      </c>
      <c r="E113" s="6" t="inlineStr">
        <is>
          <t>93043200000000</t>
        </is>
      </c>
      <c r="F113" s="5" t="n">
        <v>320</v>
      </c>
      <c r="G113" s="5" t="n">
        <v>96</v>
      </c>
      <c r="H113" s="5" t="n">
        <v>168</v>
      </c>
      <c r="I113" s="5" t="n">
        <v>72</v>
      </c>
      <c r="J113" s="5" t="n">
        <v>384</v>
      </c>
      <c r="K113" s="5" t="n">
        <v>384</v>
      </c>
      <c r="L113" s="5" t="n">
        <v>5e-06</v>
      </c>
      <c r="M113" s="5" t="n">
        <v>0.01</v>
      </c>
      <c r="N113" s="5" t="n">
        <v>0.5</v>
      </c>
      <c r="O113" s="5" t="n">
        <v>8</v>
      </c>
      <c r="P113" s="5" t="n">
        <v>8</v>
      </c>
      <c r="Q113" s="5" t="n">
        <v>0</v>
      </c>
      <c r="R113" s="5" t="n">
        <v>0</v>
      </c>
      <c r="S113" s="5" t="n">
        <v>0</v>
      </c>
      <c r="T113" s="5" t="n">
        <v>0</v>
      </c>
      <c r="U113" s="8" t="n">
        <v>1</v>
      </c>
      <c r="V113" s="8" t="n">
        <v>96</v>
      </c>
      <c r="W113" s="8" t="n">
        <v>8.4</v>
      </c>
      <c r="X113" s="8" t="n">
        <v>168</v>
      </c>
      <c r="Y113" s="8" t="n">
        <v>96</v>
      </c>
      <c r="Z113" s="8" t="n">
        <v>320</v>
      </c>
      <c r="AA113" s="8" t="n">
        <v>0.0001</v>
      </c>
      <c r="AB113" s="8" t="n">
        <v>0.00015</v>
      </c>
      <c r="AC113" s="8" t="n">
        <v>1.5e-05</v>
      </c>
      <c r="AD113" s="2" t="inlineStr">
        <is>
          <t>原值保留；补值为算例假设，见字段说明</t>
        </is>
      </c>
    </row>
    <row r="114" ht="34" customHeight="1">
      <c r="A114" s="6" t="inlineStr">
        <is>
          <t>TH_0113</t>
        </is>
      </c>
      <c r="B114" s="6" t="inlineStr">
        <is>
          <t>930632000000000000</t>
        </is>
      </c>
      <c r="C114" s="5" t="inlineStr">
        <is>
          <t>苏彭城_220.0机_Jm</t>
        </is>
      </c>
      <c r="D114" s="5" t="n">
        <v>4</v>
      </c>
      <c r="E114" s="6" t="inlineStr">
        <is>
          <t>93043200000000</t>
        </is>
      </c>
      <c r="F114" s="5" t="n">
        <v>320</v>
      </c>
      <c r="G114" s="5" t="n">
        <v>96</v>
      </c>
      <c r="H114" s="5" t="n">
        <v>168</v>
      </c>
      <c r="I114" s="5" t="n">
        <v>72</v>
      </c>
      <c r="J114" s="5" t="n">
        <v>384</v>
      </c>
      <c r="K114" s="5" t="n">
        <v>384</v>
      </c>
      <c r="L114" s="5" t="n">
        <v>5e-06</v>
      </c>
      <c r="M114" s="5" t="n">
        <v>0.01</v>
      </c>
      <c r="N114" s="5" t="n">
        <v>0.5</v>
      </c>
      <c r="O114" s="5" t="n">
        <v>8</v>
      </c>
      <c r="P114" s="5" t="n">
        <v>8</v>
      </c>
      <c r="Q114" s="5" t="n">
        <v>0</v>
      </c>
      <c r="R114" s="5" t="n">
        <v>0</v>
      </c>
      <c r="S114" s="5" t="n">
        <v>0</v>
      </c>
      <c r="T114" s="5" t="n">
        <v>0</v>
      </c>
      <c r="U114" s="8" t="n">
        <v>1</v>
      </c>
      <c r="V114" s="8" t="n">
        <v>96</v>
      </c>
      <c r="W114" s="8" t="n">
        <v>8.4</v>
      </c>
      <c r="X114" s="8" t="n">
        <v>168</v>
      </c>
      <c r="Y114" s="8" t="n">
        <v>96</v>
      </c>
      <c r="Z114" s="8" t="n">
        <v>320</v>
      </c>
      <c r="AA114" s="8" t="n">
        <v>0.0001</v>
      </c>
      <c r="AB114" s="8" t="n">
        <v>0.00015</v>
      </c>
      <c r="AC114" s="8" t="n">
        <v>1.5e-05</v>
      </c>
      <c r="AD114" s="2" t="inlineStr">
        <is>
          <t>原值保留；补值为算例假设，见字段说明</t>
        </is>
      </c>
    </row>
    <row r="115" ht="34" customHeight="1">
      <c r="A115" s="6" t="inlineStr">
        <is>
          <t>TH_0114</t>
        </is>
      </c>
      <c r="B115" s="6" t="inlineStr">
        <is>
          <t>930632000000000000</t>
        </is>
      </c>
      <c r="C115" s="5" t="inlineStr">
        <is>
          <t>苏彭城_320.0机_Jm</t>
        </is>
      </c>
      <c r="D115" s="5" t="n">
        <v>4</v>
      </c>
      <c r="E115" s="6" t="inlineStr">
        <is>
          <t>93043200000000</t>
        </is>
      </c>
      <c r="F115" s="5" t="n">
        <v>320</v>
      </c>
      <c r="G115" s="5" t="n">
        <v>96</v>
      </c>
      <c r="H115" s="5" t="n">
        <v>168</v>
      </c>
      <c r="I115" s="5" t="n">
        <v>72</v>
      </c>
      <c r="J115" s="5" t="n">
        <v>384</v>
      </c>
      <c r="K115" s="5" t="n">
        <v>384</v>
      </c>
      <c r="L115" s="5" t="n">
        <v>5e-06</v>
      </c>
      <c r="M115" s="5" t="n">
        <v>0.01</v>
      </c>
      <c r="N115" s="5" t="n">
        <v>0.5</v>
      </c>
      <c r="O115" s="5" t="n">
        <v>8</v>
      </c>
      <c r="P115" s="5" t="n">
        <v>8</v>
      </c>
      <c r="Q115" s="5" t="n">
        <v>0</v>
      </c>
      <c r="R115" s="5" t="n">
        <v>0</v>
      </c>
      <c r="S115" s="5" t="n">
        <v>0</v>
      </c>
      <c r="T115" s="5" t="n">
        <v>0</v>
      </c>
      <c r="U115" s="8" t="n">
        <v>1</v>
      </c>
      <c r="V115" s="8" t="n">
        <v>96</v>
      </c>
      <c r="W115" s="8" t="n">
        <v>8.4</v>
      </c>
      <c r="X115" s="8" t="n">
        <v>168</v>
      </c>
      <c r="Y115" s="8" t="n">
        <v>96</v>
      </c>
      <c r="Z115" s="8" t="n">
        <v>320</v>
      </c>
      <c r="AA115" s="8" t="n">
        <v>0.0001</v>
      </c>
      <c r="AB115" s="8" t="n">
        <v>0.00015</v>
      </c>
      <c r="AC115" s="8" t="n">
        <v>1.5e-05</v>
      </c>
      <c r="AD115" s="2" t="inlineStr">
        <is>
          <t>原值保留；补值为算例假设，见字段说明</t>
        </is>
      </c>
    </row>
    <row r="116" ht="34" customHeight="1">
      <c r="A116" s="6" t="inlineStr">
        <is>
          <t>TH_0115</t>
        </is>
      </c>
      <c r="B116" s="6" t="inlineStr">
        <is>
          <t>930632000000000000</t>
        </is>
      </c>
      <c r="C116" s="5" t="inlineStr">
        <is>
          <t>苏彭城_420.0机_Jm</t>
        </is>
      </c>
      <c r="D116" s="5" t="n">
        <v>4</v>
      </c>
      <c r="E116" s="6" t="inlineStr">
        <is>
          <t>93043200000000</t>
        </is>
      </c>
      <c r="F116" s="5" t="n">
        <v>320</v>
      </c>
      <c r="G116" s="5" t="n">
        <v>96</v>
      </c>
      <c r="H116" s="5" t="n">
        <v>168</v>
      </c>
      <c r="I116" s="5" t="n">
        <v>72</v>
      </c>
      <c r="J116" s="5" t="n">
        <v>384</v>
      </c>
      <c r="K116" s="5" t="n">
        <v>384</v>
      </c>
      <c r="L116" s="5" t="n">
        <v>5e-06</v>
      </c>
      <c r="M116" s="5" t="n">
        <v>0.01</v>
      </c>
      <c r="N116" s="5" t="n">
        <v>0.5</v>
      </c>
      <c r="O116" s="5" t="n">
        <v>8</v>
      </c>
      <c r="P116" s="5" t="n">
        <v>8</v>
      </c>
      <c r="Q116" s="5" t="n">
        <v>0</v>
      </c>
      <c r="R116" s="5" t="n">
        <v>0</v>
      </c>
      <c r="S116" s="5" t="n">
        <v>0</v>
      </c>
      <c r="T116" s="5" t="n">
        <v>0</v>
      </c>
      <c r="U116" s="8" t="n">
        <v>1</v>
      </c>
      <c r="V116" s="8" t="n">
        <v>96</v>
      </c>
      <c r="W116" s="8" t="n">
        <v>8.4</v>
      </c>
      <c r="X116" s="8" t="n">
        <v>168</v>
      </c>
      <c r="Y116" s="8" t="n">
        <v>96</v>
      </c>
      <c r="Z116" s="8" t="n">
        <v>320</v>
      </c>
      <c r="AA116" s="8" t="n">
        <v>0.0001</v>
      </c>
      <c r="AB116" s="8" t="n">
        <v>0.00015</v>
      </c>
      <c r="AC116" s="8" t="n">
        <v>1.5e-05</v>
      </c>
      <c r="AD116" s="2" t="inlineStr">
        <is>
          <t>原值保留；补值为算例假设，见字段说明</t>
        </is>
      </c>
    </row>
    <row r="117" ht="34" customHeight="1">
      <c r="A117" s="6" t="inlineStr">
        <is>
          <t>TH_0116</t>
        </is>
      </c>
      <c r="B117" s="6" t="inlineStr">
        <is>
          <t>930632000000000000</t>
        </is>
      </c>
      <c r="C117" s="5" t="inlineStr">
        <is>
          <t>苏徐塘_420.0机_Jm</t>
        </is>
      </c>
      <c r="D117" s="5" t="n">
        <v>4</v>
      </c>
      <c r="E117" s="6" t="inlineStr">
        <is>
          <t>93043200000000</t>
        </is>
      </c>
      <c r="F117" s="5" t="n">
        <v>320</v>
      </c>
      <c r="G117" s="5" t="n">
        <v>96</v>
      </c>
      <c r="H117" s="5" t="n">
        <v>168</v>
      </c>
      <c r="I117" s="5" t="n">
        <v>72</v>
      </c>
      <c r="J117" s="5" t="n">
        <v>384</v>
      </c>
      <c r="K117" s="5" t="n">
        <v>384</v>
      </c>
      <c r="L117" s="5" t="n">
        <v>5e-06</v>
      </c>
      <c r="M117" s="5" t="n">
        <v>0.01</v>
      </c>
      <c r="N117" s="5" t="n">
        <v>0.5</v>
      </c>
      <c r="O117" s="5" t="n">
        <v>8</v>
      </c>
      <c r="P117" s="5" t="n">
        <v>8</v>
      </c>
      <c r="Q117" s="5" t="n">
        <v>0</v>
      </c>
      <c r="R117" s="5" t="n">
        <v>0</v>
      </c>
      <c r="S117" s="5" t="n">
        <v>0</v>
      </c>
      <c r="T117" s="5" t="n">
        <v>0</v>
      </c>
      <c r="U117" s="8" t="n">
        <v>1</v>
      </c>
      <c r="V117" s="8" t="n">
        <v>96</v>
      </c>
      <c r="W117" s="8" t="n">
        <v>8.4</v>
      </c>
      <c r="X117" s="8" t="n">
        <v>168</v>
      </c>
      <c r="Y117" s="8" t="n">
        <v>96</v>
      </c>
      <c r="Z117" s="8" t="n">
        <v>320</v>
      </c>
      <c r="AA117" s="8" t="n">
        <v>0.0001</v>
      </c>
      <c r="AB117" s="8" t="n">
        <v>0.00015</v>
      </c>
      <c r="AC117" s="8" t="n">
        <v>1.5e-05</v>
      </c>
      <c r="AD117" s="2" t="inlineStr">
        <is>
          <t>原值保留；补值为算例假设，见字段说明</t>
        </is>
      </c>
    </row>
    <row r="118" ht="34" customHeight="1">
      <c r="A118" s="6" t="inlineStr">
        <is>
          <t>TH_0117</t>
        </is>
      </c>
      <c r="B118" s="6" t="inlineStr">
        <is>
          <t>930632000000000000</t>
        </is>
      </c>
      <c r="C118" s="5" t="inlineStr">
        <is>
          <t>苏徐塘_520.0机_Jm</t>
        </is>
      </c>
      <c r="D118" s="5" t="n">
        <v>4</v>
      </c>
      <c r="E118" s="6" t="inlineStr">
        <is>
          <t>93043200000000</t>
        </is>
      </c>
      <c r="F118" s="5" t="n">
        <v>320</v>
      </c>
      <c r="G118" s="5" t="n">
        <v>96</v>
      </c>
      <c r="H118" s="5" t="n">
        <v>168</v>
      </c>
      <c r="I118" s="5" t="n">
        <v>72</v>
      </c>
      <c r="J118" s="5" t="n">
        <v>384</v>
      </c>
      <c r="K118" s="5" t="n">
        <v>384</v>
      </c>
      <c r="L118" s="5" t="n">
        <v>5e-06</v>
      </c>
      <c r="M118" s="5" t="n">
        <v>0.01</v>
      </c>
      <c r="N118" s="5" t="n">
        <v>0.5</v>
      </c>
      <c r="O118" s="5" t="n">
        <v>8</v>
      </c>
      <c r="P118" s="5" t="n">
        <v>8</v>
      </c>
      <c r="Q118" s="5" t="n">
        <v>0</v>
      </c>
      <c r="R118" s="5" t="n">
        <v>0</v>
      </c>
      <c r="S118" s="5" t="n">
        <v>0</v>
      </c>
      <c r="T118" s="5" t="n">
        <v>0</v>
      </c>
      <c r="U118" s="8" t="n">
        <v>1</v>
      </c>
      <c r="V118" s="8" t="n">
        <v>96</v>
      </c>
      <c r="W118" s="8" t="n">
        <v>8.4</v>
      </c>
      <c r="X118" s="8" t="n">
        <v>168</v>
      </c>
      <c r="Y118" s="8" t="n">
        <v>96</v>
      </c>
      <c r="Z118" s="8" t="n">
        <v>320</v>
      </c>
      <c r="AA118" s="8" t="n">
        <v>0.0001</v>
      </c>
      <c r="AB118" s="8" t="n">
        <v>0.00015</v>
      </c>
      <c r="AC118" s="8" t="n">
        <v>1.5e-05</v>
      </c>
      <c r="AD118" s="2" t="inlineStr">
        <is>
          <t>原值保留；补值为算例假设，见字段说明</t>
        </is>
      </c>
    </row>
    <row r="119" ht="34" customHeight="1">
      <c r="A119" s="6" t="inlineStr">
        <is>
          <t>TH_0118</t>
        </is>
      </c>
      <c r="B119" s="6" t="inlineStr">
        <is>
          <t>930632000000000000</t>
        </is>
      </c>
      <c r="C119" s="5" t="inlineStr">
        <is>
          <t>苏徐矿_118.0机_Jm</t>
        </is>
      </c>
      <c r="D119" s="5" t="n">
        <v>4</v>
      </c>
      <c r="E119" s="6" t="inlineStr">
        <is>
          <t>93043200000000</t>
        </is>
      </c>
      <c r="F119" s="5" t="n">
        <v>300</v>
      </c>
      <c r="G119" s="5" t="n">
        <v>90</v>
      </c>
      <c r="H119" s="5" t="n">
        <v>168</v>
      </c>
      <c r="I119" s="5" t="n">
        <v>72</v>
      </c>
      <c r="J119" s="5" t="n">
        <v>360</v>
      </c>
      <c r="K119" s="5" t="n">
        <v>360</v>
      </c>
      <c r="L119" s="5" t="n">
        <v>5e-06</v>
      </c>
      <c r="M119" s="5" t="n">
        <v>0.01</v>
      </c>
      <c r="N119" s="5" t="n">
        <v>0.5</v>
      </c>
      <c r="O119" s="5" t="n">
        <v>8</v>
      </c>
      <c r="P119" s="5" t="n">
        <v>8</v>
      </c>
      <c r="Q119" s="5" t="n">
        <v>0</v>
      </c>
      <c r="R119" s="5" t="n">
        <v>0</v>
      </c>
      <c r="S119" s="5" t="n">
        <v>0</v>
      </c>
      <c r="T119" s="5" t="n">
        <v>0</v>
      </c>
      <c r="U119" s="8" t="n">
        <v>1</v>
      </c>
      <c r="V119" s="8" t="n">
        <v>90</v>
      </c>
      <c r="W119" s="8" t="n">
        <v>8.4</v>
      </c>
      <c r="X119" s="8" t="n">
        <v>168</v>
      </c>
      <c r="Y119" s="8" t="n">
        <v>90</v>
      </c>
      <c r="Z119" s="8" t="n">
        <v>300</v>
      </c>
      <c r="AA119" s="8" t="n">
        <v>0.0001</v>
      </c>
      <c r="AB119" s="8" t="n">
        <v>0.00015</v>
      </c>
      <c r="AC119" s="8" t="n">
        <v>1.5e-05</v>
      </c>
      <c r="AD119" s="2" t="inlineStr">
        <is>
          <t>原值保留；补值为算例假设，见字段说明</t>
        </is>
      </c>
    </row>
    <row r="120" ht="34" customHeight="1">
      <c r="A120" s="6" t="inlineStr">
        <is>
          <t>TH_0119</t>
        </is>
      </c>
      <c r="B120" s="6" t="inlineStr">
        <is>
          <t>930632000000000000</t>
        </is>
      </c>
      <c r="C120" s="5" t="inlineStr">
        <is>
          <t>苏徐矿_218.0机_Jm</t>
        </is>
      </c>
      <c r="D120" s="5" t="n">
        <v>4</v>
      </c>
      <c r="E120" s="6" t="inlineStr">
        <is>
          <t>93043200000000</t>
        </is>
      </c>
      <c r="F120" s="5" t="n">
        <v>300</v>
      </c>
      <c r="G120" s="5" t="n">
        <v>90</v>
      </c>
      <c r="H120" s="5" t="n">
        <v>168</v>
      </c>
      <c r="I120" s="5" t="n">
        <v>72</v>
      </c>
      <c r="J120" s="5" t="n">
        <v>360</v>
      </c>
      <c r="K120" s="5" t="n">
        <v>360</v>
      </c>
      <c r="L120" s="5" t="n">
        <v>5e-06</v>
      </c>
      <c r="M120" s="5" t="n">
        <v>0.01</v>
      </c>
      <c r="N120" s="5" t="n">
        <v>0.5</v>
      </c>
      <c r="O120" s="5" t="n">
        <v>8</v>
      </c>
      <c r="P120" s="5" t="n">
        <v>8</v>
      </c>
      <c r="Q120" s="5" t="n">
        <v>0</v>
      </c>
      <c r="R120" s="5" t="n">
        <v>0</v>
      </c>
      <c r="S120" s="5" t="n">
        <v>0</v>
      </c>
      <c r="T120" s="5" t="n">
        <v>0</v>
      </c>
      <c r="U120" s="8" t="n">
        <v>1</v>
      </c>
      <c r="V120" s="8" t="n">
        <v>90</v>
      </c>
      <c r="W120" s="8" t="n">
        <v>8.4</v>
      </c>
      <c r="X120" s="8" t="n">
        <v>168</v>
      </c>
      <c r="Y120" s="8" t="n">
        <v>90</v>
      </c>
      <c r="Z120" s="8" t="n">
        <v>300</v>
      </c>
      <c r="AA120" s="8" t="n">
        <v>0.0001</v>
      </c>
      <c r="AB120" s="8" t="n">
        <v>0.00015</v>
      </c>
      <c r="AC120" s="8" t="n">
        <v>1.5e-05</v>
      </c>
      <c r="AD120" s="2" t="inlineStr">
        <is>
          <t>原值保留；补值为算例假设，见字段说明</t>
        </is>
      </c>
    </row>
    <row r="121" ht="34" customHeight="1">
      <c r="A121" s="6" t="inlineStr">
        <is>
          <t>TH_0120</t>
        </is>
      </c>
      <c r="B121" s="6" t="inlineStr">
        <is>
          <t>930632000000000000</t>
        </is>
      </c>
      <c r="C121" s="5" t="inlineStr">
        <is>
          <t>苏宿二_122.0机_Jm</t>
        </is>
      </c>
      <c r="D121" s="5" t="n">
        <v>4</v>
      </c>
      <c r="E121" s="6" t="inlineStr">
        <is>
          <t>93043200000000</t>
        </is>
      </c>
      <c r="F121" s="5" t="n">
        <v>660</v>
      </c>
      <c r="G121" s="5" t="n">
        <v>198</v>
      </c>
      <c r="H121" s="5" t="n">
        <v>168</v>
      </c>
      <c r="I121" s="5" t="n">
        <v>72</v>
      </c>
      <c r="J121" s="5" t="n">
        <v>792</v>
      </c>
      <c r="K121" s="5" t="n">
        <v>792</v>
      </c>
      <c r="L121" s="5" t="n">
        <v>3e-06</v>
      </c>
      <c r="M121" s="5" t="n">
        <v>0.008</v>
      </c>
      <c r="N121" s="5" t="n">
        <v>0.8</v>
      </c>
      <c r="O121" s="5" t="n">
        <v>30</v>
      </c>
      <c r="P121" s="5" t="n">
        <v>30</v>
      </c>
      <c r="Q121" s="5" t="n">
        <v>0</v>
      </c>
      <c r="R121" s="5" t="n">
        <v>0</v>
      </c>
      <c r="S121" s="5" t="n">
        <v>0</v>
      </c>
      <c r="T121" s="5" t="n">
        <v>0</v>
      </c>
      <c r="U121" s="8" t="n">
        <v>1</v>
      </c>
      <c r="V121" s="8" t="n">
        <v>198</v>
      </c>
      <c r="W121" s="8" t="n">
        <v>8.4</v>
      </c>
      <c r="X121" s="8" t="n">
        <v>168</v>
      </c>
      <c r="Y121" s="8" t="n">
        <v>198</v>
      </c>
      <c r="Z121" s="8" t="n">
        <v>660</v>
      </c>
      <c r="AA121" s="8" t="n">
        <v>0.0001</v>
      </c>
      <c r="AB121" s="8" t="n">
        <v>0.00015</v>
      </c>
      <c r="AC121" s="8" t="n">
        <v>1.5e-05</v>
      </c>
      <c r="AD121" s="2" t="inlineStr">
        <is>
          <t>原值保留；补值为算例假设，见字段说明</t>
        </is>
      </c>
    </row>
    <row r="122" ht="34" customHeight="1">
      <c r="A122" s="6" t="inlineStr">
        <is>
          <t>TH_0121</t>
        </is>
      </c>
      <c r="B122" s="6" t="inlineStr">
        <is>
          <t>930632000000000000</t>
        </is>
      </c>
      <c r="C122" s="5" t="inlineStr">
        <is>
          <t>苏宿二_222.0机_Jm</t>
        </is>
      </c>
      <c r="D122" s="5" t="n">
        <v>4</v>
      </c>
      <c r="E122" s="6" t="inlineStr">
        <is>
          <t>93043200000000</t>
        </is>
      </c>
      <c r="F122" s="5" t="n">
        <v>660</v>
      </c>
      <c r="G122" s="5" t="n">
        <v>198</v>
      </c>
      <c r="H122" s="5" t="n">
        <v>168</v>
      </c>
      <c r="I122" s="5" t="n">
        <v>72</v>
      </c>
      <c r="J122" s="5" t="n">
        <v>792</v>
      </c>
      <c r="K122" s="5" t="n">
        <v>792</v>
      </c>
      <c r="L122" s="5" t="n">
        <v>3e-06</v>
      </c>
      <c r="M122" s="5" t="n">
        <v>0.008</v>
      </c>
      <c r="N122" s="5" t="n">
        <v>0.8</v>
      </c>
      <c r="O122" s="5" t="n">
        <v>30</v>
      </c>
      <c r="P122" s="5" t="n">
        <v>30</v>
      </c>
      <c r="Q122" s="5" t="n">
        <v>0</v>
      </c>
      <c r="R122" s="5" t="n">
        <v>0</v>
      </c>
      <c r="S122" s="5" t="n">
        <v>0</v>
      </c>
      <c r="T122" s="5" t="n">
        <v>0</v>
      </c>
      <c r="U122" s="8" t="n">
        <v>1</v>
      </c>
      <c r="V122" s="8" t="n">
        <v>198</v>
      </c>
      <c r="W122" s="8" t="n">
        <v>8.4</v>
      </c>
      <c r="X122" s="8" t="n">
        <v>168</v>
      </c>
      <c r="Y122" s="8" t="n">
        <v>198</v>
      </c>
      <c r="Z122" s="8" t="n">
        <v>660</v>
      </c>
      <c r="AA122" s="8" t="n">
        <v>0.0001</v>
      </c>
      <c r="AB122" s="8" t="n">
        <v>0.00015</v>
      </c>
      <c r="AC122" s="8" t="n">
        <v>1.5e-05</v>
      </c>
      <c r="AD122" s="2" t="inlineStr">
        <is>
          <t>原值保留；补值为算例假设，见字段说明</t>
        </is>
      </c>
    </row>
    <row r="123" ht="34" customHeight="1">
      <c r="A123" s="6" t="inlineStr">
        <is>
          <t>TH_0122</t>
        </is>
      </c>
      <c r="B123" s="6" t="inlineStr">
        <is>
          <t>930632000000000000</t>
        </is>
      </c>
      <c r="C123" s="5" t="inlineStr">
        <is>
          <t>宿迁非统调</t>
        </is>
      </c>
      <c r="D123" s="5" t="n">
        <v>4</v>
      </c>
      <c r="E123" s="6" t="inlineStr">
        <is>
          <t>93043200000000</t>
        </is>
      </c>
      <c r="F123" s="5" t="n">
        <v>120</v>
      </c>
      <c r="G123" s="5" t="n">
        <v>72</v>
      </c>
      <c r="H123" s="5" t="n">
        <v>168</v>
      </c>
      <c r="I123" s="5" t="n">
        <v>72</v>
      </c>
      <c r="J123" s="5" t="n">
        <v>144</v>
      </c>
      <c r="K123" s="5" t="n">
        <v>144</v>
      </c>
      <c r="L123" s="5" t="n">
        <v>5e-06</v>
      </c>
      <c r="M123" s="5" t="n">
        <v>0.01</v>
      </c>
      <c r="N123" s="5" t="n">
        <v>0.5</v>
      </c>
      <c r="O123" s="5" t="n">
        <v>8</v>
      </c>
      <c r="P123" s="5" t="n">
        <v>8</v>
      </c>
      <c r="Q123" s="5" t="n">
        <v>0</v>
      </c>
      <c r="R123" s="5" t="n">
        <v>0</v>
      </c>
      <c r="S123" s="5" t="n">
        <v>0</v>
      </c>
      <c r="T123" s="5" t="n">
        <v>0</v>
      </c>
      <c r="U123" s="8" t="n">
        <v>1</v>
      </c>
      <c r="V123" s="8" t="n">
        <v>72</v>
      </c>
      <c r="W123" s="8" t="n">
        <v>8.4</v>
      </c>
      <c r="X123" s="8" t="n">
        <v>168</v>
      </c>
      <c r="Y123" s="8" t="n">
        <v>72</v>
      </c>
      <c r="Z123" s="8" t="n">
        <v>120</v>
      </c>
      <c r="AA123" s="8" t="n">
        <v>0.0001</v>
      </c>
      <c r="AB123" s="8" t="n">
        <v>0.00015</v>
      </c>
      <c r="AC123" s="8" t="n">
        <v>1.5e-05</v>
      </c>
      <c r="AD123" s="2" t="inlineStr">
        <is>
          <t>原值保留；补值为算例假设，见字段说明</t>
        </is>
      </c>
    </row>
    <row r="124" ht="34" customHeight="1">
      <c r="A124" s="6" t="inlineStr">
        <is>
          <t>TH_0123</t>
        </is>
      </c>
      <c r="B124" s="6" t="inlineStr">
        <is>
          <t>930632000000000000</t>
        </is>
      </c>
      <c r="C124" s="5" t="inlineStr">
        <is>
          <t>淮安非统调</t>
        </is>
      </c>
      <c r="D124" s="5" t="n">
        <v>4</v>
      </c>
      <c r="E124" s="6" t="inlineStr">
        <is>
          <t>93043200000000</t>
        </is>
      </c>
      <c r="F124" s="5" t="n">
        <v>120</v>
      </c>
      <c r="G124" s="5" t="n">
        <v>72</v>
      </c>
      <c r="H124" s="5" t="n">
        <v>168</v>
      </c>
      <c r="I124" s="5" t="n">
        <v>72</v>
      </c>
      <c r="J124" s="5" t="n">
        <v>144</v>
      </c>
      <c r="K124" s="5" t="n">
        <v>144</v>
      </c>
      <c r="L124" s="5" t="n">
        <v>5e-06</v>
      </c>
      <c r="M124" s="5" t="n">
        <v>0.01</v>
      </c>
      <c r="N124" s="5" t="n">
        <v>0.5</v>
      </c>
      <c r="O124" s="5" t="n">
        <v>8</v>
      </c>
      <c r="P124" s="5" t="n">
        <v>8</v>
      </c>
      <c r="Q124" s="5" t="n">
        <v>0</v>
      </c>
      <c r="R124" s="5" t="n">
        <v>0</v>
      </c>
      <c r="S124" s="5" t="n">
        <v>0</v>
      </c>
      <c r="T124" s="5" t="n">
        <v>0</v>
      </c>
      <c r="U124" s="8" t="n">
        <v>1</v>
      </c>
      <c r="V124" s="8" t="n">
        <v>72</v>
      </c>
      <c r="W124" s="8" t="n">
        <v>8.4</v>
      </c>
      <c r="X124" s="8" t="n">
        <v>168</v>
      </c>
      <c r="Y124" s="8" t="n">
        <v>72</v>
      </c>
      <c r="Z124" s="8" t="n">
        <v>120</v>
      </c>
      <c r="AA124" s="8" t="n">
        <v>0.0001</v>
      </c>
      <c r="AB124" s="8" t="n">
        <v>0.00015</v>
      </c>
      <c r="AC124" s="8" t="n">
        <v>1.5e-05</v>
      </c>
      <c r="AD124" s="2" t="inlineStr">
        <is>
          <t>原值保留；补值为算例假设，见字段说明</t>
        </is>
      </c>
    </row>
    <row r="125" ht="34" customHeight="1">
      <c r="A125" s="6" t="inlineStr">
        <is>
          <t>TH_0124</t>
        </is>
      </c>
      <c r="B125" s="6" t="inlineStr">
        <is>
          <t>930632000000000000</t>
        </is>
      </c>
      <c r="C125" s="5" t="inlineStr">
        <is>
          <t>苏华淮_320.0机_Jm</t>
        </is>
      </c>
      <c r="D125" s="5" t="n">
        <v>4</v>
      </c>
      <c r="E125" s="6" t="inlineStr">
        <is>
          <t>93043200000000</t>
        </is>
      </c>
      <c r="F125" s="5" t="n">
        <v>330</v>
      </c>
      <c r="G125" s="5" t="n">
        <v>99</v>
      </c>
      <c r="H125" s="5" t="n">
        <v>168</v>
      </c>
      <c r="I125" s="5" t="n">
        <v>72</v>
      </c>
      <c r="J125" s="5" t="n">
        <v>396</v>
      </c>
      <c r="K125" s="5" t="n">
        <v>396</v>
      </c>
      <c r="L125" s="5" t="n">
        <v>5e-06</v>
      </c>
      <c r="M125" s="5" t="n">
        <v>0.01</v>
      </c>
      <c r="N125" s="5" t="n">
        <v>0.5</v>
      </c>
      <c r="O125" s="5" t="n">
        <v>8</v>
      </c>
      <c r="P125" s="5" t="n">
        <v>8</v>
      </c>
      <c r="Q125" s="5" t="n">
        <v>0</v>
      </c>
      <c r="R125" s="5" t="n">
        <v>0</v>
      </c>
      <c r="S125" s="5" t="n">
        <v>0</v>
      </c>
      <c r="T125" s="5" t="n">
        <v>0</v>
      </c>
      <c r="U125" s="8" t="n">
        <v>1</v>
      </c>
      <c r="V125" s="8" t="n">
        <v>99</v>
      </c>
      <c r="W125" s="8" t="n">
        <v>8.4</v>
      </c>
      <c r="X125" s="8" t="n">
        <v>168</v>
      </c>
      <c r="Y125" s="8" t="n">
        <v>99</v>
      </c>
      <c r="Z125" s="8" t="n">
        <v>330</v>
      </c>
      <c r="AA125" s="8" t="n">
        <v>0.0001</v>
      </c>
      <c r="AB125" s="8" t="n">
        <v>0.00015</v>
      </c>
      <c r="AC125" s="8" t="n">
        <v>1.5e-05</v>
      </c>
      <c r="AD125" s="2" t="inlineStr">
        <is>
          <t>原值保留；补值为算例假设，见字段说明</t>
        </is>
      </c>
    </row>
    <row r="126" ht="34" customHeight="1">
      <c r="A126" s="6" t="inlineStr">
        <is>
          <t>TH_0125</t>
        </is>
      </c>
      <c r="B126" s="6" t="inlineStr">
        <is>
          <t>930632000000000000</t>
        </is>
      </c>
      <c r="C126" s="5" t="inlineStr">
        <is>
          <t>苏华淮_420.0机_Jm</t>
        </is>
      </c>
      <c r="D126" s="5" t="n">
        <v>4</v>
      </c>
      <c r="E126" s="6" t="inlineStr">
        <is>
          <t>93043200000000</t>
        </is>
      </c>
      <c r="F126" s="5" t="n">
        <v>330</v>
      </c>
      <c r="G126" s="5" t="n">
        <v>99</v>
      </c>
      <c r="H126" s="5" t="n">
        <v>168</v>
      </c>
      <c r="I126" s="5" t="n">
        <v>72</v>
      </c>
      <c r="J126" s="5" t="n">
        <v>396</v>
      </c>
      <c r="K126" s="5" t="n">
        <v>396</v>
      </c>
      <c r="L126" s="5" t="n">
        <v>5e-06</v>
      </c>
      <c r="M126" s="5" t="n">
        <v>0.01</v>
      </c>
      <c r="N126" s="5" t="n">
        <v>0.5</v>
      </c>
      <c r="O126" s="5" t="n">
        <v>8</v>
      </c>
      <c r="P126" s="5" t="n">
        <v>8</v>
      </c>
      <c r="Q126" s="5" t="n">
        <v>0</v>
      </c>
      <c r="R126" s="5" t="n">
        <v>0</v>
      </c>
      <c r="S126" s="5" t="n">
        <v>0</v>
      </c>
      <c r="T126" s="5" t="n">
        <v>0</v>
      </c>
      <c r="U126" s="8" t="n">
        <v>1</v>
      </c>
      <c r="V126" s="8" t="n">
        <v>99</v>
      </c>
      <c r="W126" s="8" t="n">
        <v>8.4</v>
      </c>
      <c r="X126" s="8" t="n">
        <v>168</v>
      </c>
      <c r="Y126" s="8" t="n">
        <v>99</v>
      </c>
      <c r="Z126" s="8" t="n">
        <v>330</v>
      </c>
      <c r="AA126" s="8" t="n">
        <v>0.0001</v>
      </c>
      <c r="AB126" s="8" t="n">
        <v>0.00015</v>
      </c>
      <c r="AC126" s="8" t="n">
        <v>1.5e-05</v>
      </c>
      <c r="AD126" s="2" t="inlineStr">
        <is>
          <t>原值保留；补值为算例假设，见字段说明</t>
        </is>
      </c>
    </row>
    <row r="127" ht="34" customHeight="1">
      <c r="A127" s="6" t="inlineStr">
        <is>
          <t>TH_0126</t>
        </is>
      </c>
      <c r="B127" s="6" t="inlineStr">
        <is>
          <t>930632000000000000</t>
        </is>
      </c>
      <c r="C127" s="5" t="inlineStr">
        <is>
          <t>苏华淮_520.0机_Jm</t>
        </is>
      </c>
      <c r="D127" s="5" t="n">
        <v>4</v>
      </c>
      <c r="E127" s="6" t="inlineStr">
        <is>
          <t>93043200000000</t>
        </is>
      </c>
      <c r="F127" s="5" t="n">
        <v>330</v>
      </c>
      <c r="G127" s="5" t="n">
        <v>99</v>
      </c>
      <c r="H127" s="5" t="n">
        <v>168</v>
      </c>
      <c r="I127" s="5" t="n">
        <v>72</v>
      </c>
      <c r="J127" s="5" t="n">
        <v>396</v>
      </c>
      <c r="K127" s="5" t="n">
        <v>396</v>
      </c>
      <c r="L127" s="5" t="n">
        <v>5e-06</v>
      </c>
      <c r="M127" s="5" t="n">
        <v>0.01</v>
      </c>
      <c r="N127" s="5" t="n">
        <v>0.5</v>
      </c>
      <c r="O127" s="5" t="n">
        <v>8</v>
      </c>
      <c r="P127" s="5" t="n">
        <v>8</v>
      </c>
      <c r="Q127" s="5" t="n">
        <v>0</v>
      </c>
      <c r="R127" s="5" t="n">
        <v>0</v>
      </c>
      <c r="S127" s="5" t="n">
        <v>0</v>
      </c>
      <c r="T127" s="5" t="n">
        <v>0</v>
      </c>
      <c r="U127" s="8" t="n">
        <v>1</v>
      </c>
      <c r="V127" s="8" t="n">
        <v>99</v>
      </c>
      <c r="W127" s="8" t="n">
        <v>8.4</v>
      </c>
      <c r="X127" s="8" t="n">
        <v>168</v>
      </c>
      <c r="Y127" s="8" t="n">
        <v>99</v>
      </c>
      <c r="Z127" s="8" t="n">
        <v>330</v>
      </c>
      <c r="AA127" s="8" t="n">
        <v>0.0001</v>
      </c>
      <c r="AB127" s="8" t="n">
        <v>0.00015</v>
      </c>
      <c r="AC127" s="8" t="n">
        <v>1.5e-05</v>
      </c>
      <c r="AD127" s="2" t="inlineStr">
        <is>
          <t>原值保留；补值为算例假设，见字段说明</t>
        </is>
      </c>
    </row>
    <row r="128" ht="34" customHeight="1">
      <c r="A128" s="6" t="inlineStr">
        <is>
          <t>TH_0127</t>
        </is>
      </c>
      <c r="B128" s="6" t="inlineStr">
        <is>
          <t>930632000000000000</t>
        </is>
      </c>
      <c r="C128" s="5" t="inlineStr">
        <is>
          <t>苏华淮_620.0机_Jm</t>
        </is>
      </c>
      <c r="D128" s="5" t="n">
        <v>4</v>
      </c>
      <c r="E128" s="6" t="inlineStr">
        <is>
          <t>93043200000000</t>
        </is>
      </c>
      <c r="F128" s="5" t="n">
        <v>330</v>
      </c>
      <c r="G128" s="5" t="n">
        <v>99</v>
      </c>
      <c r="H128" s="5" t="n">
        <v>168</v>
      </c>
      <c r="I128" s="5" t="n">
        <v>72</v>
      </c>
      <c r="J128" s="5" t="n">
        <v>396</v>
      </c>
      <c r="K128" s="5" t="n">
        <v>396</v>
      </c>
      <c r="L128" s="5" t="n">
        <v>5e-06</v>
      </c>
      <c r="M128" s="5" t="n">
        <v>0.01</v>
      </c>
      <c r="N128" s="5" t="n">
        <v>0.5</v>
      </c>
      <c r="O128" s="5" t="n">
        <v>8</v>
      </c>
      <c r="P128" s="5" t="n">
        <v>8</v>
      </c>
      <c r="Q128" s="5" t="n">
        <v>0</v>
      </c>
      <c r="R128" s="5" t="n">
        <v>0</v>
      </c>
      <c r="S128" s="5" t="n">
        <v>0</v>
      </c>
      <c r="T128" s="5" t="n">
        <v>0</v>
      </c>
      <c r="U128" s="8" t="n">
        <v>1</v>
      </c>
      <c r="V128" s="8" t="n">
        <v>99</v>
      </c>
      <c r="W128" s="8" t="n">
        <v>8.4</v>
      </c>
      <c r="X128" s="8" t="n">
        <v>168</v>
      </c>
      <c r="Y128" s="8" t="n">
        <v>99</v>
      </c>
      <c r="Z128" s="8" t="n">
        <v>330</v>
      </c>
      <c r="AA128" s="8" t="n">
        <v>0.0001</v>
      </c>
      <c r="AB128" s="8" t="n">
        <v>0.00015</v>
      </c>
      <c r="AC128" s="8" t="n">
        <v>1.5e-05</v>
      </c>
      <c r="AD128" s="2" t="inlineStr">
        <is>
          <t>原值保留；补值为算例假设，见字段说明</t>
        </is>
      </c>
    </row>
    <row r="129" ht="34" customHeight="1">
      <c r="A129" s="6" t="inlineStr">
        <is>
          <t>TH_0128</t>
        </is>
      </c>
      <c r="B129" s="6" t="inlineStr">
        <is>
          <t>930632000000000000</t>
        </is>
      </c>
      <c r="C129" s="5" t="inlineStr">
        <is>
          <t>苏淮厂_320.0机_Jm</t>
        </is>
      </c>
      <c r="D129" s="5" t="n">
        <v>4</v>
      </c>
      <c r="E129" s="6" t="inlineStr">
        <is>
          <t>93043200000000</t>
        </is>
      </c>
      <c r="F129" s="5" t="n">
        <v>330</v>
      </c>
      <c r="G129" s="5" t="n">
        <v>99</v>
      </c>
      <c r="H129" s="5" t="n">
        <v>168</v>
      </c>
      <c r="I129" s="5" t="n">
        <v>72</v>
      </c>
      <c r="J129" s="5" t="n">
        <v>396</v>
      </c>
      <c r="K129" s="5" t="n">
        <v>396</v>
      </c>
      <c r="L129" s="5" t="n">
        <v>5e-06</v>
      </c>
      <c r="M129" s="5" t="n">
        <v>0.01</v>
      </c>
      <c r="N129" s="5" t="n">
        <v>0.5</v>
      </c>
      <c r="O129" s="5" t="n">
        <v>8</v>
      </c>
      <c r="P129" s="5" t="n">
        <v>8</v>
      </c>
      <c r="Q129" s="5" t="n">
        <v>0</v>
      </c>
      <c r="R129" s="5" t="n">
        <v>0</v>
      </c>
      <c r="S129" s="5" t="n">
        <v>0</v>
      </c>
      <c r="T129" s="5" t="n">
        <v>0</v>
      </c>
      <c r="U129" s="8" t="n">
        <v>1</v>
      </c>
      <c r="V129" s="8" t="n">
        <v>99</v>
      </c>
      <c r="W129" s="8" t="n">
        <v>8.4</v>
      </c>
      <c r="X129" s="8" t="n">
        <v>168</v>
      </c>
      <c r="Y129" s="8" t="n">
        <v>99</v>
      </c>
      <c r="Z129" s="8" t="n">
        <v>330</v>
      </c>
      <c r="AA129" s="8" t="n">
        <v>0.0001</v>
      </c>
      <c r="AB129" s="8" t="n">
        <v>0.00015</v>
      </c>
      <c r="AC129" s="8" t="n">
        <v>1.5e-05</v>
      </c>
      <c r="AD129" s="2" t="inlineStr">
        <is>
          <t>原值保留；补值为算例假设，见字段说明</t>
        </is>
      </c>
    </row>
    <row r="130" ht="34" customHeight="1">
      <c r="A130" s="6" t="inlineStr">
        <is>
          <t>TH_0129</t>
        </is>
      </c>
      <c r="B130" s="6" t="inlineStr">
        <is>
          <t>930632000000000000</t>
        </is>
      </c>
      <c r="C130" s="5" t="inlineStr">
        <is>
          <t>苏淮厂_420.0机_Jm</t>
        </is>
      </c>
      <c r="D130" s="5" t="n">
        <v>4</v>
      </c>
      <c r="E130" s="6" t="inlineStr">
        <is>
          <t>93043200000000</t>
        </is>
      </c>
      <c r="F130" s="5" t="n">
        <v>330</v>
      </c>
      <c r="G130" s="5" t="n">
        <v>99</v>
      </c>
      <c r="H130" s="5" t="n">
        <v>168</v>
      </c>
      <c r="I130" s="5" t="n">
        <v>72</v>
      </c>
      <c r="J130" s="5" t="n">
        <v>396</v>
      </c>
      <c r="K130" s="5" t="n">
        <v>396</v>
      </c>
      <c r="L130" s="5" t="n">
        <v>5e-06</v>
      </c>
      <c r="M130" s="5" t="n">
        <v>0.01</v>
      </c>
      <c r="N130" s="5" t="n">
        <v>0.5</v>
      </c>
      <c r="O130" s="5" t="n">
        <v>8</v>
      </c>
      <c r="P130" s="5" t="n">
        <v>8</v>
      </c>
      <c r="Q130" s="5" t="n">
        <v>0</v>
      </c>
      <c r="R130" s="5" t="n">
        <v>0</v>
      </c>
      <c r="S130" s="5" t="n">
        <v>0</v>
      </c>
      <c r="T130" s="5" t="n">
        <v>0</v>
      </c>
      <c r="U130" s="8" t="n">
        <v>1</v>
      </c>
      <c r="V130" s="8" t="n">
        <v>99</v>
      </c>
      <c r="W130" s="8" t="n">
        <v>8.4</v>
      </c>
      <c r="X130" s="8" t="n">
        <v>168</v>
      </c>
      <c r="Y130" s="8" t="n">
        <v>99</v>
      </c>
      <c r="Z130" s="8" t="n">
        <v>330</v>
      </c>
      <c r="AA130" s="8" t="n">
        <v>0.0001</v>
      </c>
      <c r="AB130" s="8" t="n">
        <v>0.00015</v>
      </c>
      <c r="AC130" s="8" t="n">
        <v>1.5e-05</v>
      </c>
      <c r="AD130" s="2" t="inlineStr">
        <is>
          <t>原值保留；补值为算例假设，见字段说明</t>
        </is>
      </c>
    </row>
    <row r="131" ht="34" customHeight="1">
      <c r="A131" s="6" t="inlineStr">
        <is>
          <t>TH_0130</t>
        </is>
      </c>
      <c r="B131" s="6" t="inlineStr">
        <is>
          <t>930632000000000000</t>
        </is>
      </c>
      <c r="C131" s="5" t="inlineStr">
        <is>
          <t>苏新海_127.0机_JM</t>
        </is>
      </c>
      <c r="D131" s="5" t="n">
        <v>5</v>
      </c>
      <c r="E131" s="6" t="inlineStr">
        <is>
          <t>93043200000000</t>
        </is>
      </c>
      <c r="F131" s="5" t="n">
        <v>1000</v>
      </c>
      <c r="G131" s="5" t="n">
        <v>300</v>
      </c>
      <c r="H131" s="5" t="n">
        <v>168</v>
      </c>
      <c r="I131" s="5" t="n">
        <v>72</v>
      </c>
      <c r="J131" s="5" t="n">
        <v>1200</v>
      </c>
      <c r="K131" s="5" t="n">
        <v>1200</v>
      </c>
      <c r="L131" s="5" t="n">
        <v>3e-06</v>
      </c>
      <c r="M131" s="5" t="n">
        <v>0.008</v>
      </c>
      <c r="N131" s="5" t="n">
        <v>0.8</v>
      </c>
      <c r="O131" s="5" t="n">
        <v>30</v>
      </c>
      <c r="P131" s="5" t="n">
        <v>30</v>
      </c>
      <c r="Q131" s="5" t="n">
        <v>0</v>
      </c>
      <c r="R131" s="5" t="n">
        <v>0</v>
      </c>
      <c r="S131" s="5" t="n">
        <v>0</v>
      </c>
      <c r="T131" s="5" t="n">
        <v>0</v>
      </c>
      <c r="U131" s="8" t="n">
        <v>1</v>
      </c>
      <c r="V131" s="8" t="n">
        <v>300</v>
      </c>
      <c r="W131" s="8" t="n">
        <v>8.4</v>
      </c>
      <c r="X131" s="8" t="n">
        <v>168</v>
      </c>
      <c r="Y131" s="8" t="n">
        <v>300</v>
      </c>
      <c r="Z131" s="8" t="n">
        <v>1000</v>
      </c>
      <c r="AA131" s="8" t="n">
        <v>0.0001</v>
      </c>
      <c r="AB131" s="8" t="n">
        <v>0.00015</v>
      </c>
      <c r="AC131" s="8" t="n">
        <v>1.5e-05</v>
      </c>
      <c r="AD131" s="2" t="inlineStr">
        <is>
          <t>原值保留；补值为算例假设，见字段说明</t>
        </is>
      </c>
    </row>
    <row r="132" ht="34" customHeight="1">
      <c r="A132" s="6" t="inlineStr">
        <is>
          <t>TH_0131</t>
        </is>
      </c>
      <c r="B132" s="6" t="inlineStr">
        <is>
          <t>930632000000000000</t>
        </is>
      </c>
      <c r="C132" s="5" t="inlineStr">
        <is>
          <t>苏新海_227.0机_JM</t>
        </is>
      </c>
      <c r="D132" s="5" t="n">
        <v>5</v>
      </c>
      <c r="E132" s="6" t="inlineStr">
        <is>
          <t>93043200000000</t>
        </is>
      </c>
      <c r="F132" s="5" t="n">
        <v>1000</v>
      </c>
      <c r="G132" s="5" t="n">
        <v>300</v>
      </c>
      <c r="H132" s="5" t="n">
        <v>168</v>
      </c>
      <c r="I132" s="5" t="n">
        <v>72</v>
      </c>
      <c r="J132" s="5" t="n">
        <v>1200</v>
      </c>
      <c r="K132" s="5" t="n">
        <v>1200</v>
      </c>
      <c r="L132" s="5" t="n">
        <v>3e-06</v>
      </c>
      <c r="M132" s="5" t="n">
        <v>0.008</v>
      </c>
      <c r="N132" s="5" t="n">
        <v>0.8</v>
      </c>
      <c r="O132" s="5" t="n">
        <v>30</v>
      </c>
      <c r="P132" s="5" t="n">
        <v>30</v>
      </c>
      <c r="Q132" s="5" t="n">
        <v>0</v>
      </c>
      <c r="R132" s="5" t="n">
        <v>0</v>
      </c>
      <c r="S132" s="5" t="n">
        <v>0</v>
      </c>
      <c r="T132" s="5" t="n">
        <v>0</v>
      </c>
      <c r="U132" s="8" t="n">
        <v>1</v>
      </c>
      <c r="V132" s="8" t="n">
        <v>300</v>
      </c>
      <c r="W132" s="8" t="n">
        <v>8.4</v>
      </c>
      <c r="X132" s="8" t="n">
        <v>168</v>
      </c>
      <c r="Y132" s="8" t="n">
        <v>300</v>
      </c>
      <c r="Z132" s="8" t="n">
        <v>1000</v>
      </c>
      <c r="AA132" s="8" t="n">
        <v>0.0001</v>
      </c>
      <c r="AB132" s="8" t="n">
        <v>0.00015</v>
      </c>
      <c r="AC132" s="8" t="n">
        <v>1.5e-05</v>
      </c>
      <c r="AD132" s="2" t="inlineStr">
        <is>
          <t>原值保留；补值为算例假设，见字段说明</t>
        </is>
      </c>
    </row>
    <row r="133" ht="34" customHeight="1">
      <c r="A133" s="6" t="inlineStr">
        <is>
          <t>TH_0132</t>
        </is>
      </c>
      <c r="B133" s="6" t="inlineStr">
        <is>
          <t>930632000000000000</t>
        </is>
      </c>
      <c r="C133" s="5" t="inlineStr">
        <is>
          <t>连云港非统调</t>
        </is>
      </c>
      <c r="D133" s="5" t="n">
        <v>5</v>
      </c>
      <c r="E133" s="6" t="inlineStr">
        <is>
          <t>93043200000000</t>
        </is>
      </c>
      <c r="F133" s="5" t="n">
        <v>120</v>
      </c>
      <c r="G133" s="5" t="n">
        <v>72</v>
      </c>
      <c r="H133" s="5" t="n">
        <v>168</v>
      </c>
      <c r="I133" s="5" t="n">
        <v>72</v>
      </c>
      <c r="J133" s="5" t="n">
        <v>144</v>
      </c>
      <c r="K133" s="5" t="n">
        <v>144</v>
      </c>
      <c r="L133" s="5" t="n">
        <v>5e-06</v>
      </c>
      <c r="M133" s="5" t="n">
        <v>0.01</v>
      </c>
      <c r="N133" s="5" t="n">
        <v>0.5</v>
      </c>
      <c r="O133" s="5" t="n">
        <v>8</v>
      </c>
      <c r="P133" s="5" t="n">
        <v>8</v>
      </c>
      <c r="Q133" s="5" t="n">
        <v>0</v>
      </c>
      <c r="R133" s="5" t="n">
        <v>0</v>
      </c>
      <c r="S133" s="5" t="n">
        <v>0</v>
      </c>
      <c r="T133" s="5" t="n">
        <v>0</v>
      </c>
      <c r="U133" s="8" t="n">
        <v>1</v>
      </c>
      <c r="V133" s="8" t="n">
        <v>72</v>
      </c>
      <c r="W133" s="8" t="n">
        <v>8.4</v>
      </c>
      <c r="X133" s="8" t="n">
        <v>168</v>
      </c>
      <c r="Y133" s="8" t="n">
        <v>72</v>
      </c>
      <c r="Z133" s="8" t="n">
        <v>120</v>
      </c>
      <c r="AA133" s="8" t="n">
        <v>0.0001</v>
      </c>
      <c r="AB133" s="8" t="n">
        <v>0.00015</v>
      </c>
      <c r="AC133" s="8" t="n">
        <v>1.5e-05</v>
      </c>
      <c r="AD133" s="2" t="inlineStr">
        <is>
          <t>原值保留；补值为算例假设，见字段说明</t>
        </is>
      </c>
    </row>
    <row r="134" ht="34" customHeight="1">
      <c r="A134" s="6" t="inlineStr">
        <is>
          <t>TH_0133</t>
        </is>
      </c>
      <c r="B134" s="6" t="inlineStr">
        <is>
          <t>930632000000000000</t>
        </is>
      </c>
      <c r="C134" s="5" t="inlineStr">
        <is>
          <t>苏新海1520.0机_Jm</t>
        </is>
      </c>
      <c r="D134" s="5" t="n">
        <v>5</v>
      </c>
      <c r="E134" s="6" t="inlineStr">
        <is>
          <t>93043200000000</t>
        </is>
      </c>
      <c r="F134" s="5" t="n">
        <v>330</v>
      </c>
      <c r="G134" s="5" t="n">
        <v>99</v>
      </c>
      <c r="H134" s="5" t="n">
        <v>168</v>
      </c>
      <c r="I134" s="5" t="n">
        <v>72</v>
      </c>
      <c r="J134" s="5" t="n">
        <v>396</v>
      </c>
      <c r="K134" s="5" t="n">
        <v>396</v>
      </c>
      <c r="L134" s="5" t="n">
        <v>5e-06</v>
      </c>
      <c r="M134" s="5" t="n">
        <v>0.01</v>
      </c>
      <c r="N134" s="5" t="n">
        <v>0.5</v>
      </c>
      <c r="O134" s="5" t="n">
        <v>8</v>
      </c>
      <c r="P134" s="5" t="n">
        <v>8</v>
      </c>
      <c r="Q134" s="5" t="n">
        <v>0</v>
      </c>
      <c r="R134" s="5" t="n">
        <v>0</v>
      </c>
      <c r="S134" s="5" t="n">
        <v>0</v>
      </c>
      <c r="T134" s="5" t="n">
        <v>0</v>
      </c>
      <c r="U134" s="8" t="n">
        <v>1</v>
      </c>
      <c r="V134" s="8" t="n">
        <v>99</v>
      </c>
      <c r="W134" s="8" t="n">
        <v>8.4</v>
      </c>
      <c r="X134" s="8" t="n">
        <v>168</v>
      </c>
      <c r="Y134" s="8" t="n">
        <v>99</v>
      </c>
      <c r="Z134" s="8" t="n">
        <v>330</v>
      </c>
      <c r="AA134" s="8" t="n">
        <v>0.0001</v>
      </c>
      <c r="AB134" s="8" t="n">
        <v>0.00015</v>
      </c>
      <c r="AC134" s="8" t="n">
        <v>1.5e-05</v>
      </c>
      <c r="AD134" s="2" t="inlineStr">
        <is>
          <t>原值保留；补值为算例假设，见字段说明</t>
        </is>
      </c>
    </row>
    <row r="135" ht="34" customHeight="1">
      <c r="A135" s="6" t="inlineStr">
        <is>
          <t>TH_0134</t>
        </is>
      </c>
      <c r="B135" s="6" t="inlineStr">
        <is>
          <t>930632000000000000</t>
        </is>
      </c>
      <c r="C135" s="5" t="inlineStr">
        <is>
          <t>苏新海1620.0机_Jm</t>
        </is>
      </c>
      <c r="D135" s="5" t="n">
        <v>5</v>
      </c>
      <c r="E135" s="6" t="inlineStr">
        <is>
          <t>93043200000000</t>
        </is>
      </c>
      <c r="F135" s="5" t="n">
        <v>330</v>
      </c>
      <c r="G135" s="5" t="n">
        <v>99</v>
      </c>
      <c r="H135" s="5" t="n">
        <v>168</v>
      </c>
      <c r="I135" s="5" t="n">
        <v>72</v>
      </c>
      <c r="J135" s="5" t="n">
        <v>396</v>
      </c>
      <c r="K135" s="5" t="n">
        <v>396</v>
      </c>
      <c r="L135" s="5" t="n">
        <v>5e-06</v>
      </c>
      <c r="M135" s="5" t="n">
        <v>0.01</v>
      </c>
      <c r="N135" s="5" t="n">
        <v>0.5</v>
      </c>
      <c r="O135" s="5" t="n">
        <v>8</v>
      </c>
      <c r="P135" s="5" t="n">
        <v>8</v>
      </c>
      <c r="Q135" s="5" t="n">
        <v>0</v>
      </c>
      <c r="R135" s="5" t="n">
        <v>0</v>
      </c>
      <c r="S135" s="5" t="n">
        <v>0</v>
      </c>
      <c r="T135" s="5" t="n">
        <v>0</v>
      </c>
      <c r="U135" s="8" t="n">
        <v>1</v>
      </c>
      <c r="V135" s="8" t="n">
        <v>99</v>
      </c>
      <c r="W135" s="8" t="n">
        <v>8.4</v>
      </c>
      <c r="X135" s="8" t="n">
        <v>168</v>
      </c>
      <c r="Y135" s="8" t="n">
        <v>99</v>
      </c>
      <c r="Z135" s="8" t="n">
        <v>330</v>
      </c>
      <c r="AA135" s="8" t="n">
        <v>0.0001</v>
      </c>
      <c r="AB135" s="8" t="n">
        <v>0.00015</v>
      </c>
      <c r="AC135" s="8" t="n">
        <v>1.5e-05</v>
      </c>
      <c r="AD135" s="2" t="inlineStr">
        <is>
          <t>原值保留；补值为算例假设，见字段说明</t>
        </is>
      </c>
    </row>
    <row r="136" ht="34" customHeight="1">
      <c r="A136" s="6" t="inlineStr">
        <is>
          <t>TH_0135</t>
        </is>
      </c>
      <c r="B136" s="6" t="inlineStr">
        <is>
          <t>930632000000000000</t>
        </is>
      </c>
      <c r="C136" s="5" t="inlineStr">
        <is>
          <t>苏公岛Y310.5机_Jm</t>
        </is>
      </c>
      <c r="D136" s="5" t="n">
        <v>5</v>
      </c>
      <c r="E136" s="6" t="inlineStr">
        <is>
          <t>93043200000000</t>
        </is>
      </c>
      <c r="F136" s="5" t="n">
        <v>40</v>
      </c>
      <c r="G136" s="5" t="n">
        <v>18</v>
      </c>
      <c r="H136" s="5" t="n">
        <v>168</v>
      </c>
      <c r="I136" s="5" t="n">
        <v>72</v>
      </c>
      <c r="J136" s="5" t="n">
        <v>48</v>
      </c>
      <c r="K136" s="5" t="n">
        <v>48</v>
      </c>
      <c r="L136" s="5" t="n">
        <v>8e-06</v>
      </c>
      <c r="M136" s="5" t="n">
        <v>0.012</v>
      </c>
      <c r="N136" s="5" t="n">
        <v>0.3</v>
      </c>
      <c r="O136" s="5" t="n">
        <v>3</v>
      </c>
      <c r="P136" s="5" t="n">
        <v>3</v>
      </c>
      <c r="Q136" s="5" t="n">
        <v>0</v>
      </c>
      <c r="R136" s="5" t="n">
        <v>0</v>
      </c>
      <c r="S136" s="5" t="n">
        <v>0</v>
      </c>
      <c r="T136" s="5" t="n">
        <v>0</v>
      </c>
      <c r="U136" s="8" t="n">
        <v>1</v>
      </c>
      <c r="V136" s="8" t="n">
        <v>18</v>
      </c>
      <c r="W136" s="8" t="n">
        <v>8.4</v>
      </c>
      <c r="X136" s="8" t="n">
        <v>168</v>
      </c>
      <c r="Y136" s="8" t="n">
        <v>18</v>
      </c>
      <c r="Z136" s="8" t="n">
        <v>40</v>
      </c>
      <c r="AA136" s="8" t="n">
        <v>0.0001</v>
      </c>
      <c r="AB136" s="8" t="n">
        <v>0.00015</v>
      </c>
      <c r="AC136" s="8" t="n">
        <v>1.5e-05</v>
      </c>
      <c r="AD136" s="2" t="inlineStr">
        <is>
          <t>原值保留；补值为算例假设，见字段说明</t>
        </is>
      </c>
    </row>
    <row r="137" ht="34" customHeight="1">
      <c r="A137" s="6" t="inlineStr">
        <is>
          <t>TH_0136</t>
        </is>
      </c>
      <c r="B137" s="6" t="inlineStr">
        <is>
          <t>930632000000000000</t>
        </is>
      </c>
      <c r="C137" s="5" t="inlineStr">
        <is>
          <t>苏公岛Y410.5机_Jm</t>
        </is>
      </c>
      <c r="D137" s="5" t="n">
        <v>5</v>
      </c>
      <c r="E137" s="6" t="inlineStr">
        <is>
          <t>93043200000000</t>
        </is>
      </c>
      <c r="F137" s="5" t="n">
        <v>40</v>
      </c>
      <c r="G137" s="5" t="n">
        <v>18</v>
      </c>
      <c r="H137" s="5" t="n">
        <v>168</v>
      </c>
      <c r="I137" s="5" t="n">
        <v>72</v>
      </c>
      <c r="J137" s="5" t="n">
        <v>48</v>
      </c>
      <c r="K137" s="5" t="n">
        <v>48</v>
      </c>
      <c r="L137" s="5" t="n">
        <v>8e-06</v>
      </c>
      <c r="M137" s="5" t="n">
        <v>0.012</v>
      </c>
      <c r="N137" s="5" t="n">
        <v>0.3</v>
      </c>
      <c r="O137" s="5" t="n">
        <v>3</v>
      </c>
      <c r="P137" s="5" t="n">
        <v>3</v>
      </c>
      <c r="Q137" s="5" t="n">
        <v>0</v>
      </c>
      <c r="R137" s="5" t="n">
        <v>0</v>
      </c>
      <c r="S137" s="5" t="n">
        <v>0</v>
      </c>
      <c r="T137" s="5" t="n">
        <v>0</v>
      </c>
      <c r="U137" s="8" t="n">
        <v>1</v>
      </c>
      <c r="V137" s="8" t="n">
        <v>18</v>
      </c>
      <c r="W137" s="8" t="n">
        <v>8.4</v>
      </c>
      <c r="X137" s="8" t="n">
        <v>168</v>
      </c>
      <c r="Y137" s="8" t="n">
        <v>18</v>
      </c>
      <c r="Z137" s="8" t="n">
        <v>40</v>
      </c>
      <c r="AA137" s="8" t="n">
        <v>0.0001</v>
      </c>
      <c r="AB137" s="8" t="n">
        <v>0.00015</v>
      </c>
      <c r="AC137" s="8" t="n">
        <v>1.5e-05</v>
      </c>
      <c r="AD137" s="2" t="inlineStr">
        <is>
          <t>原值保留；补值为算例假设，见字段说明</t>
        </is>
      </c>
    </row>
    <row r="138" ht="34" customHeight="1">
      <c r="A138" s="6" t="inlineStr">
        <is>
          <t>TH_0137</t>
        </is>
      </c>
      <c r="B138" s="6" t="inlineStr">
        <is>
          <t>930632000000000000</t>
        </is>
      </c>
      <c r="C138" s="5" t="inlineStr">
        <is>
          <t>苏公岛Y110.5机_Jm</t>
        </is>
      </c>
      <c r="D138" s="5" t="n">
        <v>5</v>
      </c>
      <c r="E138" s="6" t="inlineStr">
        <is>
          <t>93043200000000</t>
        </is>
      </c>
      <c r="F138" s="5" t="n">
        <v>20</v>
      </c>
      <c r="G138" s="5" t="n">
        <v>9</v>
      </c>
      <c r="H138" s="5" t="n">
        <v>168</v>
      </c>
      <c r="I138" s="5" t="n">
        <v>72</v>
      </c>
      <c r="J138" s="5" t="n">
        <v>24</v>
      </c>
      <c r="K138" s="5" t="n">
        <v>24</v>
      </c>
      <c r="L138" s="5" t="n">
        <v>8e-06</v>
      </c>
      <c r="M138" s="5" t="n">
        <v>0.012</v>
      </c>
      <c r="N138" s="5" t="n">
        <v>0.3</v>
      </c>
      <c r="O138" s="5" t="n">
        <v>3</v>
      </c>
      <c r="P138" s="5" t="n">
        <v>3</v>
      </c>
      <c r="Q138" s="5" t="n">
        <v>0</v>
      </c>
      <c r="R138" s="5" t="n">
        <v>0</v>
      </c>
      <c r="S138" s="5" t="n">
        <v>0</v>
      </c>
      <c r="T138" s="5" t="n">
        <v>0</v>
      </c>
      <c r="U138" s="8" t="n">
        <v>1</v>
      </c>
      <c r="V138" s="8" t="n">
        <v>9</v>
      </c>
      <c r="W138" s="8" t="n">
        <v>8.4</v>
      </c>
      <c r="X138" s="8" t="n">
        <v>168</v>
      </c>
      <c r="Y138" s="8" t="n">
        <v>9</v>
      </c>
      <c r="Z138" s="8" t="n">
        <v>20</v>
      </c>
      <c r="AA138" s="8" t="n">
        <v>0.0001</v>
      </c>
      <c r="AB138" s="8" t="n">
        <v>0.00015</v>
      </c>
      <c r="AC138" s="8" t="n">
        <v>1.5e-05</v>
      </c>
      <c r="AD138" s="2" t="inlineStr">
        <is>
          <t>原值保留；补值为算例假设，见字段说明</t>
        </is>
      </c>
    </row>
    <row r="139" ht="34" customHeight="1">
      <c r="A139" s="6" t="inlineStr">
        <is>
          <t>TH_0138</t>
        </is>
      </c>
      <c r="B139" s="6" t="inlineStr">
        <is>
          <t>930632000000000000</t>
        </is>
      </c>
      <c r="C139" s="5" t="inlineStr">
        <is>
          <t>苏公岛Y210.5机_Jm</t>
        </is>
      </c>
      <c r="D139" s="5" t="n">
        <v>5</v>
      </c>
      <c r="E139" s="6" t="inlineStr">
        <is>
          <t>93043200000000</t>
        </is>
      </c>
      <c r="F139" s="5" t="n">
        <v>20</v>
      </c>
      <c r="G139" s="5" t="n">
        <v>9</v>
      </c>
      <c r="H139" s="5" t="n">
        <v>168</v>
      </c>
      <c r="I139" s="5" t="n">
        <v>72</v>
      </c>
      <c r="J139" s="5" t="n">
        <v>24</v>
      </c>
      <c r="K139" s="5" t="n">
        <v>24</v>
      </c>
      <c r="L139" s="5" t="n">
        <v>8e-06</v>
      </c>
      <c r="M139" s="5" t="n">
        <v>0.012</v>
      </c>
      <c r="N139" s="5" t="n">
        <v>0.3</v>
      </c>
      <c r="O139" s="5" t="n">
        <v>3</v>
      </c>
      <c r="P139" s="5" t="n">
        <v>3</v>
      </c>
      <c r="Q139" s="5" t="n">
        <v>0</v>
      </c>
      <c r="R139" s="5" t="n">
        <v>0</v>
      </c>
      <c r="S139" s="5" t="n">
        <v>0</v>
      </c>
      <c r="T139" s="5" t="n">
        <v>0</v>
      </c>
      <c r="U139" s="8" t="n">
        <v>1</v>
      </c>
      <c r="V139" s="8" t="n">
        <v>9</v>
      </c>
      <c r="W139" s="8" t="n">
        <v>8.4</v>
      </c>
      <c r="X139" s="8" t="n">
        <v>168</v>
      </c>
      <c r="Y139" s="8" t="n">
        <v>9</v>
      </c>
      <c r="Z139" s="8" t="n">
        <v>20</v>
      </c>
      <c r="AA139" s="8" t="n">
        <v>0.0001</v>
      </c>
      <c r="AB139" s="8" t="n">
        <v>0.00015</v>
      </c>
      <c r="AC139" s="8" t="n">
        <v>1.5e-05</v>
      </c>
      <c r="AD139" s="2" t="inlineStr">
        <is>
          <t>原值保留；补值为算例假设，见字段说明</t>
        </is>
      </c>
    </row>
    <row r="140" ht="34" customHeight="1">
      <c r="A140" s="6" t="inlineStr">
        <is>
          <t>TH_0139</t>
        </is>
      </c>
      <c r="B140" s="6" t="inlineStr">
        <is>
          <t>930632000000000000</t>
        </is>
      </c>
      <c r="C140" s="5" t="inlineStr">
        <is>
          <t>盐城非统调</t>
        </is>
      </c>
      <c r="D140" s="5" t="n">
        <v>5</v>
      </c>
      <c r="E140" s="6" t="inlineStr">
        <is>
          <t>93043200000000</t>
        </is>
      </c>
      <c r="F140" s="5" t="n">
        <v>120</v>
      </c>
      <c r="G140" s="5" t="n">
        <v>72</v>
      </c>
      <c r="H140" s="5" t="n">
        <v>168</v>
      </c>
      <c r="I140" s="5" t="n">
        <v>72</v>
      </c>
      <c r="J140" s="5" t="n">
        <v>144</v>
      </c>
      <c r="K140" s="5" t="n">
        <v>144</v>
      </c>
      <c r="L140" s="5" t="n">
        <v>5e-06</v>
      </c>
      <c r="M140" s="5" t="n">
        <v>0.01</v>
      </c>
      <c r="N140" s="5" t="n">
        <v>0.5</v>
      </c>
      <c r="O140" s="5" t="n">
        <v>8</v>
      </c>
      <c r="P140" s="5" t="n">
        <v>8</v>
      </c>
      <c r="Q140" s="5" t="n">
        <v>0</v>
      </c>
      <c r="R140" s="5" t="n">
        <v>0</v>
      </c>
      <c r="S140" s="5" t="n">
        <v>0</v>
      </c>
      <c r="T140" s="5" t="n">
        <v>0</v>
      </c>
      <c r="U140" s="8" t="n">
        <v>1</v>
      </c>
      <c r="V140" s="8" t="n">
        <v>72</v>
      </c>
      <c r="W140" s="8" t="n">
        <v>8.4</v>
      </c>
      <c r="X140" s="8" t="n">
        <v>168</v>
      </c>
      <c r="Y140" s="8" t="n">
        <v>72</v>
      </c>
      <c r="Z140" s="8" t="n">
        <v>120</v>
      </c>
      <c r="AA140" s="8" t="n">
        <v>0.0001</v>
      </c>
      <c r="AB140" s="8" t="n">
        <v>0.00015</v>
      </c>
      <c r="AC140" s="8" t="n">
        <v>1.5e-05</v>
      </c>
      <c r="AD140" s="2" t="inlineStr">
        <is>
          <t>原值保留；补值为算例假设，见字段说明</t>
        </is>
      </c>
    </row>
    <row r="141" ht="34" customHeight="1">
      <c r="A141" s="6" t="inlineStr">
        <is>
          <t>TH_0140</t>
        </is>
      </c>
      <c r="B141" s="6" t="inlineStr">
        <is>
          <t>930632000000000000</t>
        </is>
      </c>
      <c r="C141" s="5" t="inlineStr">
        <is>
          <t>苏滨港_127.0机_JM</t>
        </is>
      </c>
      <c r="D141" s="5" t="n">
        <v>5</v>
      </c>
      <c r="E141" s="6" t="inlineStr">
        <is>
          <t>93043200000000</t>
        </is>
      </c>
      <c r="F141" s="5" t="n">
        <v>1000</v>
      </c>
      <c r="G141" s="5" t="n">
        <v>300</v>
      </c>
      <c r="H141" s="5" t="n">
        <v>168</v>
      </c>
      <c r="I141" s="5" t="n">
        <v>72</v>
      </c>
      <c r="J141" s="5" t="n">
        <v>1200</v>
      </c>
      <c r="K141" s="5" t="n">
        <v>1200</v>
      </c>
      <c r="L141" s="5" t="n">
        <v>3e-06</v>
      </c>
      <c r="M141" s="5" t="n">
        <v>0.008</v>
      </c>
      <c r="N141" s="5" t="n">
        <v>0.8</v>
      </c>
      <c r="O141" s="5" t="n">
        <v>30</v>
      </c>
      <c r="P141" s="5" t="n">
        <v>30</v>
      </c>
      <c r="Q141" s="5" t="n">
        <v>0</v>
      </c>
      <c r="R141" s="5" t="n">
        <v>0</v>
      </c>
      <c r="S141" s="5" t="n">
        <v>0</v>
      </c>
      <c r="T141" s="5" t="n">
        <v>0</v>
      </c>
      <c r="U141" s="8" t="n">
        <v>1</v>
      </c>
      <c r="V141" s="8" t="n">
        <v>300</v>
      </c>
      <c r="W141" s="8" t="n">
        <v>8.4</v>
      </c>
      <c r="X141" s="8" t="n">
        <v>168</v>
      </c>
      <c r="Y141" s="8" t="n">
        <v>300</v>
      </c>
      <c r="Z141" s="8" t="n">
        <v>1000</v>
      </c>
      <c r="AA141" s="8" t="n">
        <v>0.0001</v>
      </c>
      <c r="AB141" s="8" t="n">
        <v>0.00015</v>
      </c>
      <c r="AC141" s="8" t="n">
        <v>1.5e-05</v>
      </c>
      <c r="AD141" s="2" t="inlineStr">
        <is>
          <t>原值保留；补值为算例假设，见字段说明</t>
        </is>
      </c>
    </row>
    <row r="142" ht="34" customHeight="1">
      <c r="A142" s="6" t="inlineStr">
        <is>
          <t>TH_0141</t>
        </is>
      </c>
      <c r="B142" s="6" t="inlineStr">
        <is>
          <t>930632000000000000</t>
        </is>
      </c>
      <c r="C142" s="5" t="inlineStr">
        <is>
          <t>苏滨港_227.0机_JM</t>
        </is>
      </c>
      <c r="D142" s="5" t="n">
        <v>5</v>
      </c>
      <c r="E142" s="6" t="inlineStr">
        <is>
          <t>93043200000000</t>
        </is>
      </c>
      <c r="F142" s="5" t="n">
        <v>1000</v>
      </c>
      <c r="G142" s="5" t="n">
        <v>300</v>
      </c>
      <c r="H142" s="5" t="n">
        <v>168</v>
      </c>
      <c r="I142" s="5" t="n">
        <v>72</v>
      </c>
      <c r="J142" s="5" t="n">
        <v>1200</v>
      </c>
      <c r="K142" s="5" t="n">
        <v>1200</v>
      </c>
      <c r="L142" s="5" t="n">
        <v>3e-06</v>
      </c>
      <c r="M142" s="5" t="n">
        <v>0.008</v>
      </c>
      <c r="N142" s="5" t="n">
        <v>0.8</v>
      </c>
      <c r="O142" s="5" t="n">
        <v>30</v>
      </c>
      <c r="P142" s="5" t="n">
        <v>30</v>
      </c>
      <c r="Q142" s="5" t="n">
        <v>0</v>
      </c>
      <c r="R142" s="5" t="n">
        <v>0</v>
      </c>
      <c r="S142" s="5" t="n">
        <v>0</v>
      </c>
      <c r="T142" s="5" t="n">
        <v>0</v>
      </c>
      <c r="U142" s="8" t="n">
        <v>1</v>
      </c>
      <c r="V142" s="8" t="n">
        <v>300</v>
      </c>
      <c r="W142" s="8" t="n">
        <v>8.4</v>
      </c>
      <c r="X142" s="8" t="n">
        <v>168</v>
      </c>
      <c r="Y142" s="8" t="n">
        <v>300</v>
      </c>
      <c r="Z142" s="8" t="n">
        <v>1000</v>
      </c>
      <c r="AA142" s="8" t="n">
        <v>0.0001</v>
      </c>
      <c r="AB142" s="8" t="n">
        <v>0.00015</v>
      </c>
      <c r="AC142" s="8" t="n">
        <v>1.5e-05</v>
      </c>
      <c r="AD142" s="2" t="inlineStr">
        <is>
          <t>原值保留；补值为算例假设，见字段说明</t>
        </is>
      </c>
    </row>
    <row r="143" ht="34" customHeight="1">
      <c r="A143" s="6" t="inlineStr">
        <is>
          <t>TH_0142</t>
        </is>
      </c>
      <c r="B143" s="6" t="inlineStr">
        <is>
          <t>930632000000000000</t>
        </is>
      </c>
      <c r="C143" s="5" t="inlineStr">
        <is>
          <t>苏海港_327.0机_JM</t>
        </is>
      </c>
      <c r="D143" s="5" t="n">
        <v>5</v>
      </c>
      <c r="E143" s="6" t="inlineStr">
        <is>
          <t>93043200000000</t>
        </is>
      </c>
      <c r="F143" s="5" t="n">
        <v>1000</v>
      </c>
      <c r="G143" s="5" t="n">
        <v>300</v>
      </c>
      <c r="H143" s="5" t="n">
        <v>168</v>
      </c>
      <c r="I143" s="5" t="n">
        <v>72</v>
      </c>
      <c r="J143" s="5" t="n">
        <v>1200</v>
      </c>
      <c r="K143" s="5" t="n">
        <v>1200</v>
      </c>
      <c r="L143" s="5" t="n">
        <v>3e-06</v>
      </c>
      <c r="M143" s="5" t="n">
        <v>0.008</v>
      </c>
      <c r="N143" s="5" t="n">
        <v>0.8</v>
      </c>
      <c r="O143" s="5" t="n">
        <v>30</v>
      </c>
      <c r="P143" s="5" t="n">
        <v>30</v>
      </c>
      <c r="Q143" s="5" t="n">
        <v>0</v>
      </c>
      <c r="R143" s="5" t="n">
        <v>0</v>
      </c>
      <c r="S143" s="5" t="n">
        <v>0</v>
      </c>
      <c r="T143" s="5" t="n">
        <v>0</v>
      </c>
      <c r="U143" s="8" t="n">
        <v>1</v>
      </c>
      <c r="V143" s="8" t="n">
        <v>300</v>
      </c>
      <c r="W143" s="8" t="n">
        <v>8.4</v>
      </c>
      <c r="X143" s="8" t="n">
        <v>168</v>
      </c>
      <c r="Y143" s="8" t="n">
        <v>300</v>
      </c>
      <c r="Z143" s="8" t="n">
        <v>1000</v>
      </c>
      <c r="AA143" s="8" t="n">
        <v>0.0001</v>
      </c>
      <c r="AB143" s="8" t="n">
        <v>0.00015</v>
      </c>
      <c r="AC143" s="8" t="n">
        <v>1.5e-05</v>
      </c>
      <c r="AD143" s="2" t="inlineStr">
        <is>
          <t>原值保留；补值为算例假设，见字段说明</t>
        </is>
      </c>
    </row>
    <row r="144" ht="34" customHeight="1">
      <c r="A144" s="6" t="inlineStr">
        <is>
          <t>TH_0143</t>
        </is>
      </c>
      <c r="B144" s="6" t="inlineStr">
        <is>
          <t>930632000000000000</t>
        </is>
      </c>
      <c r="C144" s="5" t="inlineStr">
        <is>
          <t>苏海港_427.0机_JM</t>
        </is>
      </c>
      <c r="D144" s="5" t="n">
        <v>5</v>
      </c>
      <c r="E144" s="6" t="inlineStr">
        <is>
          <t>93043200000000</t>
        </is>
      </c>
      <c r="F144" s="5" t="n">
        <v>1000</v>
      </c>
      <c r="G144" s="5" t="n">
        <v>300</v>
      </c>
      <c r="H144" s="5" t="n">
        <v>168</v>
      </c>
      <c r="I144" s="5" t="n">
        <v>72</v>
      </c>
      <c r="J144" s="5" t="n">
        <v>1200</v>
      </c>
      <c r="K144" s="5" t="n">
        <v>1200</v>
      </c>
      <c r="L144" s="5" t="n">
        <v>3e-06</v>
      </c>
      <c r="M144" s="5" t="n">
        <v>0.008</v>
      </c>
      <c r="N144" s="5" t="n">
        <v>0.8</v>
      </c>
      <c r="O144" s="5" t="n">
        <v>30</v>
      </c>
      <c r="P144" s="5" t="n">
        <v>30</v>
      </c>
      <c r="Q144" s="5" t="n">
        <v>0</v>
      </c>
      <c r="R144" s="5" t="n">
        <v>0</v>
      </c>
      <c r="S144" s="5" t="n">
        <v>0</v>
      </c>
      <c r="T144" s="5" t="n">
        <v>0</v>
      </c>
      <c r="U144" s="8" t="n">
        <v>1</v>
      </c>
      <c r="V144" s="8" t="n">
        <v>300</v>
      </c>
      <c r="W144" s="8" t="n">
        <v>8.4</v>
      </c>
      <c r="X144" s="8" t="n">
        <v>168</v>
      </c>
      <c r="Y144" s="8" t="n">
        <v>300</v>
      </c>
      <c r="Z144" s="8" t="n">
        <v>1000</v>
      </c>
      <c r="AA144" s="8" t="n">
        <v>0.0001</v>
      </c>
      <c r="AB144" s="8" t="n">
        <v>0.00015</v>
      </c>
      <c r="AC144" s="8" t="n">
        <v>1.5e-05</v>
      </c>
      <c r="AD144" s="2" t="inlineStr">
        <is>
          <t>原值保留；补值为算例假设，见字段说明</t>
        </is>
      </c>
    </row>
    <row r="145" ht="34" customHeight="1">
      <c r="A145" s="6" t="inlineStr">
        <is>
          <t>TH_0144</t>
        </is>
      </c>
      <c r="B145" s="6" t="inlineStr">
        <is>
          <t>930632000000000000</t>
        </is>
      </c>
      <c r="C145" s="5" t="inlineStr">
        <is>
          <t>苏海港_527.0机_JM</t>
        </is>
      </c>
      <c r="D145" s="5" t="n">
        <v>5</v>
      </c>
      <c r="E145" s="6" t="inlineStr">
        <is>
          <t>93043200000000</t>
        </is>
      </c>
      <c r="F145" s="5" t="n">
        <v>1000</v>
      </c>
      <c r="G145" s="5" t="n">
        <v>300</v>
      </c>
      <c r="H145" s="5" t="n">
        <v>168</v>
      </c>
      <c r="I145" s="5" t="n">
        <v>72</v>
      </c>
      <c r="J145" s="5" t="n">
        <v>1200</v>
      </c>
      <c r="K145" s="5" t="n">
        <v>1200</v>
      </c>
      <c r="L145" s="5" t="n">
        <v>3e-06</v>
      </c>
      <c r="M145" s="5" t="n">
        <v>0.008</v>
      </c>
      <c r="N145" s="5" t="n">
        <v>0.8</v>
      </c>
      <c r="O145" s="5" t="n">
        <v>30</v>
      </c>
      <c r="P145" s="5" t="n">
        <v>30</v>
      </c>
      <c r="Q145" s="5" t="n">
        <v>0</v>
      </c>
      <c r="R145" s="5" t="n">
        <v>0</v>
      </c>
      <c r="S145" s="5" t="n">
        <v>0</v>
      </c>
      <c r="T145" s="5" t="n">
        <v>0</v>
      </c>
      <c r="U145" s="8" t="n">
        <v>1</v>
      </c>
      <c r="V145" s="8" t="n">
        <v>300</v>
      </c>
      <c r="W145" s="8" t="n">
        <v>8.4</v>
      </c>
      <c r="X145" s="8" t="n">
        <v>168</v>
      </c>
      <c r="Y145" s="8" t="n">
        <v>300</v>
      </c>
      <c r="Z145" s="8" t="n">
        <v>1000</v>
      </c>
      <c r="AA145" s="8" t="n">
        <v>0.0001</v>
      </c>
      <c r="AB145" s="8" t="n">
        <v>0.00015</v>
      </c>
      <c r="AC145" s="8" t="n">
        <v>1.5e-05</v>
      </c>
      <c r="AD145" s="2" t="inlineStr">
        <is>
          <t>原值保留；补值为算例假设，见字段说明</t>
        </is>
      </c>
    </row>
    <row r="146" ht="34" customHeight="1">
      <c r="A146" s="6" t="inlineStr">
        <is>
          <t>TH_0145</t>
        </is>
      </c>
      <c r="B146" s="6" t="inlineStr">
        <is>
          <t>930632000000000000</t>
        </is>
      </c>
      <c r="C146" s="5" t="inlineStr">
        <is>
          <t>苏海港_627.0机_JM</t>
        </is>
      </c>
      <c r="D146" s="5" t="n">
        <v>5</v>
      </c>
      <c r="E146" s="6" t="inlineStr">
        <is>
          <t>93043200000000</t>
        </is>
      </c>
      <c r="F146" s="5" t="n">
        <v>1000</v>
      </c>
      <c r="G146" s="5" t="n">
        <v>300</v>
      </c>
      <c r="H146" s="5" t="n">
        <v>168</v>
      </c>
      <c r="I146" s="5" t="n">
        <v>72</v>
      </c>
      <c r="J146" s="5" t="n">
        <v>1200</v>
      </c>
      <c r="K146" s="5" t="n">
        <v>1200</v>
      </c>
      <c r="L146" s="5" t="n">
        <v>3e-06</v>
      </c>
      <c r="M146" s="5" t="n">
        <v>0.008</v>
      </c>
      <c r="N146" s="5" t="n">
        <v>0.8</v>
      </c>
      <c r="O146" s="5" t="n">
        <v>30</v>
      </c>
      <c r="P146" s="5" t="n">
        <v>30</v>
      </c>
      <c r="Q146" s="5" t="n">
        <v>0</v>
      </c>
      <c r="R146" s="5" t="n">
        <v>0</v>
      </c>
      <c r="S146" s="5" t="n">
        <v>0</v>
      </c>
      <c r="T146" s="5" t="n">
        <v>0</v>
      </c>
      <c r="U146" s="8" t="n">
        <v>1</v>
      </c>
      <c r="V146" s="8" t="n">
        <v>300</v>
      </c>
      <c r="W146" s="8" t="n">
        <v>8.4</v>
      </c>
      <c r="X146" s="8" t="n">
        <v>168</v>
      </c>
      <c r="Y146" s="8" t="n">
        <v>300</v>
      </c>
      <c r="Z146" s="8" t="n">
        <v>1000</v>
      </c>
      <c r="AA146" s="8" t="n">
        <v>0.0001</v>
      </c>
      <c r="AB146" s="8" t="n">
        <v>0.00015</v>
      </c>
      <c r="AC146" s="8" t="n">
        <v>1.5e-05</v>
      </c>
      <c r="AD146" s="2" t="inlineStr">
        <is>
          <t>原值保留；补值为算例假设，见字段说明</t>
        </is>
      </c>
    </row>
    <row r="147" ht="34" customHeight="1">
      <c r="A147" s="6" t="inlineStr">
        <is>
          <t>TH_0146</t>
        </is>
      </c>
      <c r="B147" s="6" t="inlineStr">
        <is>
          <t>930632000000000000</t>
        </is>
      </c>
      <c r="C147" s="5" t="inlineStr">
        <is>
          <t>苏家港E320.0机_JM</t>
        </is>
      </c>
      <c r="D147" s="5" t="n">
        <v>5</v>
      </c>
      <c r="E147" s="6" t="inlineStr">
        <is>
          <t>93043200000000</t>
        </is>
      </c>
      <c r="F147" s="5" t="n">
        <v>1000</v>
      </c>
      <c r="G147" s="5" t="n">
        <v>300</v>
      </c>
      <c r="H147" s="5" t="n">
        <v>168</v>
      </c>
      <c r="I147" s="5" t="n">
        <v>72</v>
      </c>
      <c r="J147" s="5" t="n">
        <v>1200</v>
      </c>
      <c r="K147" s="5" t="n">
        <v>1200</v>
      </c>
      <c r="L147" s="5" t="n">
        <v>3e-06</v>
      </c>
      <c r="M147" s="5" t="n">
        <v>0.008</v>
      </c>
      <c r="N147" s="5" t="n">
        <v>0.8</v>
      </c>
      <c r="O147" s="5" t="n">
        <v>30</v>
      </c>
      <c r="P147" s="5" t="n">
        <v>30</v>
      </c>
      <c r="Q147" s="5" t="n">
        <v>0</v>
      </c>
      <c r="R147" s="5" t="n">
        <v>0</v>
      </c>
      <c r="S147" s="5" t="n">
        <v>0</v>
      </c>
      <c r="T147" s="5" t="n">
        <v>0</v>
      </c>
      <c r="U147" s="8" t="n">
        <v>1</v>
      </c>
      <c r="V147" s="8" t="n">
        <v>300</v>
      </c>
      <c r="W147" s="8" t="n">
        <v>8.4</v>
      </c>
      <c r="X147" s="8" t="n">
        <v>168</v>
      </c>
      <c r="Y147" s="8" t="n">
        <v>300</v>
      </c>
      <c r="Z147" s="8" t="n">
        <v>1000</v>
      </c>
      <c r="AA147" s="8" t="n">
        <v>0.0001</v>
      </c>
      <c r="AB147" s="8" t="n">
        <v>0.00015</v>
      </c>
      <c r="AC147" s="8" t="n">
        <v>1.5e-05</v>
      </c>
      <c r="AD147" s="2" t="inlineStr">
        <is>
          <t>原值保留；补值为算例假设，见字段说明</t>
        </is>
      </c>
    </row>
    <row r="148" ht="34" customHeight="1">
      <c r="A148" s="6" t="inlineStr">
        <is>
          <t>TH_0147</t>
        </is>
      </c>
      <c r="B148" s="6" t="inlineStr">
        <is>
          <t>930632000000000000</t>
        </is>
      </c>
      <c r="C148" s="5" t="inlineStr">
        <is>
          <t>苏射扩G127.0机_JM</t>
        </is>
      </c>
      <c r="D148" s="5" t="n">
        <v>5</v>
      </c>
      <c r="E148" s="6" t="inlineStr">
        <is>
          <t>93043200000000</t>
        </is>
      </c>
      <c r="F148" s="5" t="n">
        <v>1000</v>
      </c>
      <c r="G148" s="5" t="n">
        <v>300</v>
      </c>
      <c r="H148" s="5" t="n">
        <v>168</v>
      </c>
      <c r="I148" s="5" t="n">
        <v>72</v>
      </c>
      <c r="J148" s="5" t="n">
        <v>1200</v>
      </c>
      <c r="K148" s="5" t="n">
        <v>1200</v>
      </c>
      <c r="L148" s="5" t="n">
        <v>3e-06</v>
      </c>
      <c r="M148" s="5" t="n">
        <v>0.008</v>
      </c>
      <c r="N148" s="5" t="n">
        <v>0.8</v>
      </c>
      <c r="O148" s="5" t="n">
        <v>30</v>
      </c>
      <c r="P148" s="5" t="n">
        <v>30</v>
      </c>
      <c r="Q148" s="5" t="n">
        <v>0</v>
      </c>
      <c r="R148" s="5" t="n">
        <v>0</v>
      </c>
      <c r="S148" s="5" t="n">
        <v>0</v>
      </c>
      <c r="T148" s="5" t="n">
        <v>0</v>
      </c>
      <c r="U148" s="8" t="n">
        <v>1</v>
      </c>
      <c r="V148" s="8" t="n">
        <v>300</v>
      </c>
      <c r="W148" s="8" t="n">
        <v>8.4</v>
      </c>
      <c r="X148" s="8" t="n">
        <v>168</v>
      </c>
      <c r="Y148" s="8" t="n">
        <v>300</v>
      </c>
      <c r="Z148" s="8" t="n">
        <v>1000</v>
      </c>
      <c r="AA148" s="8" t="n">
        <v>0.0001</v>
      </c>
      <c r="AB148" s="8" t="n">
        <v>0.00015</v>
      </c>
      <c r="AC148" s="8" t="n">
        <v>1.5e-05</v>
      </c>
      <c r="AD148" s="2" t="inlineStr">
        <is>
          <t>原值保留；补值为算例假设，见字段说明</t>
        </is>
      </c>
    </row>
    <row r="149" ht="34" customHeight="1">
      <c r="A149" s="6" t="inlineStr">
        <is>
          <t>TH_0148</t>
        </is>
      </c>
      <c r="B149" s="6" t="inlineStr">
        <is>
          <t>930632000000000000</t>
        </is>
      </c>
      <c r="C149" s="5" t="inlineStr">
        <is>
          <t>苏射扩G227.0机_JM</t>
        </is>
      </c>
      <c r="D149" s="5" t="n">
        <v>5</v>
      </c>
      <c r="E149" s="6" t="inlineStr">
        <is>
          <t>93043200000000</t>
        </is>
      </c>
      <c r="F149" s="5" t="n">
        <v>1000</v>
      </c>
      <c r="G149" s="5" t="n">
        <v>300</v>
      </c>
      <c r="H149" s="5" t="n">
        <v>168</v>
      </c>
      <c r="I149" s="5" t="n">
        <v>72</v>
      </c>
      <c r="J149" s="5" t="n">
        <v>1200</v>
      </c>
      <c r="K149" s="5" t="n">
        <v>1200</v>
      </c>
      <c r="L149" s="5" t="n">
        <v>3e-06</v>
      </c>
      <c r="M149" s="5" t="n">
        <v>0.008</v>
      </c>
      <c r="N149" s="5" t="n">
        <v>0.8</v>
      </c>
      <c r="O149" s="5" t="n">
        <v>30</v>
      </c>
      <c r="P149" s="5" t="n">
        <v>30</v>
      </c>
      <c r="Q149" s="5" t="n">
        <v>0</v>
      </c>
      <c r="R149" s="5" t="n">
        <v>0</v>
      </c>
      <c r="S149" s="5" t="n">
        <v>0</v>
      </c>
      <c r="T149" s="5" t="n">
        <v>0</v>
      </c>
      <c r="U149" s="8" t="n">
        <v>1</v>
      </c>
      <c r="V149" s="8" t="n">
        <v>300</v>
      </c>
      <c r="W149" s="8" t="n">
        <v>8.4</v>
      </c>
      <c r="X149" s="8" t="n">
        <v>168</v>
      </c>
      <c r="Y149" s="8" t="n">
        <v>300</v>
      </c>
      <c r="Z149" s="8" t="n">
        <v>1000</v>
      </c>
      <c r="AA149" s="8" t="n">
        <v>0.0001</v>
      </c>
      <c r="AB149" s="8" t="n">
        <v>0.00015</v>
      </c>
      <c r="AC149" s="8" t="n">
        <v>1.5e-05</v>
      </c>
      <c r="AD149" s="2" t="inlineStr">
        <is>
          <t>原值保留；补值为算例假设，见字段说明</t>
        </is>
      </c>
    </row>
    <row r="150" ht="34" customHeight="1">
      <c r="A150" s="6" t="inlineStr">
        <is>
          <t>TH_0149</t>
        </is>
      </c>
      <c r="B150" s="6" t="inlineStr">
        <is>
          <t>930632000000000000</t>
        </is>
      </c>
      <c r="C150" s="5" t="inlineStr">
        <is>
          <t>苏陈家_120.0机_JM</t>
        </is>
      </c>
      <c r="D150" s="5" t="n">
        <v>5</v>
      </c>
      <c r="E150" s="6" t="inlineStr">
        <is>
          <t>93043200000000</t>
        </is>
      </c>
      <c r="F150" s="5" t="n">
        <v>660</v>
      </c>
      <c r="G150" s="5" t="n">
        <v>198</v>
      </c>
      <c r="H150" s="5" t="n">
        <v>168</v>
      </c>
      <c r="I150" s="5" t="n">
        <v>72</v>
      </c>
      <c r="J150" s="5" t="n">
        <v>792</v>
      </c>
      <c r="K150" s="5" t="n">
        <v>792</v>
      </c>
      <c r="L150" s="5" t="n">
        <v>3e-06</v>
      </c>
      <c r="M150" s="5" t="n">
        <v>0.008</v>
      </c>
      <c r="N150" s="5" t="n">
        <v>0.8</v>
      </c>
      <c r="O150" s="5" t="n">
        <v>30</v>
      </c>
      <c r="P150" s="5" t="n">
        <v>30</v>
      </c>
      <c r="Q150" s="5" t="n">
        <v>0</v>
      </c>
      <c r="R150" s="5" t="n">
        <v>0</v>
      </c>
      <c r="S150" s="5" t="n">
        <v>0</v>
      </c>
      <c r="T150" s="5" t="n">
        <v>0</v>
      </c>
      <c r="U150" s="8" t="n">
        <v>1</v>
      </c>
      <c r="V150" s="8" t="n">
        <v>198</v>
      </c>
      <c r="W150" s="8" t="n">
        <v>8.4</v>
      </c>
      <c r="X150" s="8" t="n">
        <v>168</v>
      </c>
      <c r="Y150" s="8" t="n">
        <v>198</v>
      </c>
      <c r="Z150" s="8" t="n">
        <v>660</v>
      </c>
      <c r="AA150" s="8" t="n">
        <v>0.0001</v>
      </c>
      <c r="AB150" s="8" t="n">
        <v>0.00015</v>
      </c>
      <c r="AC150" s="8" t="n">
        <v>1.5e-05</v>
      </c>
      <c r="AD150" s="2" t="inlineStr">
        <is>
          <t>原值保留；补值为算例假设，见字段说明</t>
        </is>
      </c>
    </row>
    <row r="151" ht="34" customHeight="1">
      <c r="A151" s="6" t="inlineStr">
        <is>
          <t>TH_0150</t>
        </is>
      </c>
      <c r="B151" s="6" t="inlineStr">
        <is>
          <t>930632000000000000</t>
        </is>
      </c>
      <c r="C151" s="5" t="inlineStr">
        <is>
          <t>苏陈家_220.0机_JM</t>
        </is>
      </c>
      <c r="D151" s="5" t="n">
        <v>5</v>
      </c>
      <c r="E151" s="6" t="inlineStr">
        <is>
          <t>93043200000000</t>
        </is>
      </c>
      <c r="F151" s="5" t="n">
        <v>660</v>
      </c>
      <c r="G151" s="5" t="n">
        <v>198</v>
      </c>
      <c r="H151" s="5" t="n">
        <v>168</v>
      </c>
      <c r="I151" s="5" t="n">
        <v>72</v>
      </c>
      <c r="J151" s="5" t="n">
        <v>792</v>
      </c>
      <c r="K151" s="5" t="n">
        <v>792</v>
      </c>
      <c r="L151" s="5" t="n">
        <v>3e-06</v>
      </c>
      <c r="M151" s="5" t="n">
        <v>0.008</v>
      </c>
      <c r="N151" s="5" t="n">
        <v>0.8</v>
      </c>
      <c r="O151" s="5" t="n">
        <v>30</v>
      </c>
      <c r="P151" s="5" t="n">
        <v>30</v>
      </c>
      <c r="Q151" s="5" t="n">
        <v>0</v>
      </c>
      <c r="R151" s="5" t="n">
        <v>0</v>
      </c>
      <c r="S151" s="5" t="n">
        <v>0</v>
      </c>
      <c r="T151" s="5" t="n">
        <v>0</v>
      </c>
      <c r="U151" s="8" t="n">
        <v>1</v>
      </c>
      <c r="V151" s="8" t="n">
        <v>198</v>
      </c>
      <c r="W151" s="8" t="n">
        <v>8.4</v>
      </c>
      <c r="X151" s="8" t="n">
        <v>168</v>
      </c>
      <c r="Y151" s="8" t="n">
        <v>198</v>
      </c>
      <c r="Z151" s="8" t="n">
        <v>660</v>
      </c>
      <c r="AA151" s="8" t="n">
        <v>0.0001</v>
      </c>
      <c r="AB151" s="8" t="n">
        <v>0.00015</v>
      </c>
      <c r="AC151" s="8" t="n">
        <v>1.5e-05</v>
      </c>
      <c r="AD151" s="2" t="inlineStr">
        <is>
          <t>原值保留；补值为算例假设，见字段说明</t>
        </is>
      </c>
    </row>
    <row r="152" ht="34" customHeight="1">
      <c r="A152" s="6" t="inlineStr">
        <is>
          <t>TH_0151</t>
        </is>
      </c>
      <c r="B152" s="6" t="inlineStr">
        <is>
          <t>930632000000000000</t>
        </is>
      </c>
      <c r="C152" s="5" t="inlineStr">
        <is>
          <t>苏射阳_522.0机_Jm</t>
        </is>
      </c>
      <c r="D152" s="5" t="n">
        <v>5</v>
      </c>
      <c r="E152" s="6" t="inlineStr">
        <is>
          <t>93043200000000</t>
        </is>
      </c>
      <c r="F152" s="5" t="n">
        <v>660</v>
      </c>
      <c r="G152" s="5" t="n">
        <v>198</v>
      </c>
      <c r="H152" s="5" t="n">
        <v>168</v>
      </c>
      <c r="I152" s="5" t="n">
        <v>72</v>
      </c>
      <c r="J152" s="5" t="n">
        <v>792</v>
      </c>
      <c r="K152" s="5" t="n">
        <v>792</v>
      </c>
      <c r="L152" s="5" t="n">
        <v>3e-06</v>
      </c>
      <c r="M152" s="5" t="n">
        <v>0.008</v>
      </c>
      <c r="N152" s="5" t="n">
        <v>0.8</v>
      </c>
      <c r="O152" s="5" t="n">
        <v>30</v>
      </c>
      <c r="P152" s="5" t="n">
        <v>30</v>
      </c>
      <c r="Q152" s="5" t="n">
        <v>0</v>
      </c>
      <c r="R152" s="5" t="n">
        <v>0</v>
      </c>
      <c r="S152" s="5" t="n">
        <v>0</v>
      </c>
      <c r="T152" s="5" t="n">
        <v>0</v>
      </c>
      <c r="U152" s="8" t="n">
        <v>1</v>
      </c>
      <c r="V152" s="8" t="n">
        <v>198</v>
      </c>
      <c r="W152" s="8" t="n">
        <v>8.4</v>
      </c>
      <c r="X152" s="8" t="n">
        <v>168</v>
      </c>
      <c r="Y152" s="8" t="n">
        <v>198</v>
      </c>
      <c r="Z152" s="8" t="n">
        <v>660</v>
      </c>
      <c r="AA152" s="8" t="n">
        <v>0.0001</v>
      </c>
      <c r="AB152" s="8" t="n">
        <v>0.00015</v>
      </c>
      <c r="AC152" s="8" t="n">
        <v>1.5e-05</v>
      </c>
      <c r="AD152" s="2" t="inlineStr">
        <is>
          <t>原值保留；补值为算例假设，见字段说明</t>
        </is>
      </c>
    </row>
    <row r="153" ht="34" customHeight="1">
      <c r="A153" s="6" t="inlineStr">
        <is>
          <t>TH_0152</t>
        </is>
      </c>
      <c r="B153" s="6" t="inlineStr">
        <is>
          <t>930632000000000000</t>
        </is>
      </c>
      <c r="C153" s="5" t="inlineStr">
        <is>
          <t>苏射阳_622.0机_Jm</t>
        </is>
      </c>
      <c r="D153" s="5" t="n">
        <v>5</v>
      </c>
      <c r="E153" s="6" t="inlineStr">
        <is>
          <t>93043200000000</t>
        </is>
      </c>
      <c r="F153" s="5" t="n">
        <v>660</v>
      </c>
      <c r="G153" s="5" t="n">
        <v>198</v>
      </c>
      <c r="H153" s="5" t="n">
        <v>168</v>
      </c>
      <c r="I153" s="5" t="n">
        <v>72</v>
      </c>
      <c r="J153" s="5" t="n">
        <v>792</v>
      </c>
      <c r="K153" s="5" t="n">
        <v>792</v>
      </c>
      <c r="L153" s="5" t="n">
        <v>3e-06</v>
      </c>
      <c r="M153" s="5" t="n">
        <v>0.008</v>
      </c>
      <c r="N153" s="5" t="n">
        <v>0.8</v>
      </c>
      <c r="O153" s="5" t="n">
        <v>30</v>
      </c>
      <c r="P153" s="5" t="n">
        <v>30</v>
      </c>
      <c r="Q153" s="5" t="n">
        <v>0</v>
      </c>
      <c r="R153" s="5" t="n">
        <v>0</v>
      </c>
      <c r="S153" s="5" t="n">
        <v>0</v>
      </c>
      <c r="T153" s="5" t="n">
        <v>0</v>
      </c>
      <c r="U153" s="8" t="n">
        <v>1</v>
      </c>
      <c r="V153" s="8" t="n">
        <v>198</v>
      </c>
      <c r="W153" s="8" t="n">
        <v>8.4</v>
      </c>
      <c r="X153" s="8" t="n">
        <v>168</v>
      </c>
      <c r="Y153" s="8" t="n">
        <v>198</v>
      </c>
      <c r="Z153" s="8" t="n">
        <v>660</v>
      </c>
      <c r="AA153" s="8" t="n">
        <v>0.0001</v>
      </c>
      <c r="AB153" s="8" t="n">
        <v>0.00015</v>
      </c>
      <c r="AC153" s="8" t="n">
        <v>1.5e-05</v>
      </c>
      <c r="AD153" s="2" t="inlineStr">
        <is>
          <t>原值保留；补值为算例假设，见字段说明</t>
        </is>
      </c>
    </row>
    <row r="154" ht="34" customHeight="1">
      <c r="A154" s="6" t="inlineStr">
        <is>
          <t>TH_0153</t>
        </is>
      </c>
      <c r="B154" s="6" t="inlineStr">
        <is>
          <t>930632000000000000</t>
        </is>
      </c>
      <c r="C154" s="5" t="inlineStr">
        <is>
          <t>苏华通G127.0机_JM</t>
        </is>
      </c>
      <c r="D154" s="5" t="n">
        <v>5</v>
      </c>
      <c r="E154" s="6" t="inlineStr">
        <is>
          <t>93043200000000</t>
        </is>
      </c>
      <c r="F154" s="5" t="n">
        <v>1000</v>
      </c>
      <c r="G154" s="5" t="n">
        <v>300</v>
      </c>
      <c r="H154" s="5" t="n">
        <v>168</v>
      </c>
      <c r="I154" s="5" t="n">
        <v>72</v>
      </c>
      <c r="J154" s="5" t="n">
        <v>1200</v>
      </c>
      <c r="K154" s="5" t="n">
        <v>1200</v>
      </c>
      <c r="L154" s="5" t="n">
        <v>3e-06</v>
      </c>
      <c r="M154" s="5" t="n">
        <v>0.008</v>
      </c>
      <c r="N154" s="5" t="n">
        <v>0.8</v>
      </c>
      <c r="O154" s="5" t="n">
        <v>30</v>
      </c>
      <c r="P154" s="5" t="n">
        <v>30</v>
      </c>
      <c r="Q154" s="5" t="n">
        <v>0</v>
      </c>
      <c r="R154" s="5" t="n">
        <v>0</v>
      </c>
      <c r="S154" s="5" t="n">
        <v>0</v>
      </c>
      <c r="T154" s="5" t="n">
        <v>0</v>
      </c>
      <c r="U154" s="8" t="n">
        <v>1</v>
      </c>
      <c r="V154" s="8" t="n">
        <v>300</v>
      </c>
      <c r="W154" s="8" t="n">
        <v>8.4</v>
      </c>
      <c r="X154" s="8" t="n">
        <v>168</v>
      </c>
      <c r="Y154" s="8" t="n">
        <v>300</v>
      </c>
      <c r="Z154" s="8" t="n">
        <v>1000</v>
      </c>
      <c r="AA154" s="8" t="n">
        <v>0.0001</v>
      </c>
      <c r="AB154" s="8" t="n">
        <v>0.00015</v>
      </c>
      <c r="AC154" s="8" t="n">
        <v>1.5e-05</v>
      </c>
      <c r="AD154" s="2" t="inlineStr">
        <is>
          <t>原值保留；补值为算例假设，见字段说明</t>
        </is>
      </c>
    </row>
    <row r="155" ht="34" customHeight="1">
      <c r="A155" s="6" t="inlineStr">
        <is>
          <t>TH_0154</t>
        </is>
      </c>
      <c r="B155" s="6" t="inlineStr">
        <is>
          <t>930632000000000000</t>
        </is>
      </c>
      <c r="C155" s="5" t="inlineStr">
        <is>
          <t>苏华通G227.0机_JM</t>
        </is>
      </c>
      <c r="D155" s="5" t="n">
        <v>5</v>
      </c>
      <c r="E155" s="6" t="inlineStr">
        <is>
          <t>93043200000000</t>
        </is>
      </c>
      <c r="F155" s="5" t="n">
        <v>1000</v>
      </c>
      <c r="G155" s="5" t="n">
        <v>300</v>
      </c>
      <c r="H155" s="5" t="n">
        <v>168</v>
      </c>
      <c r="I155" s="5" t="n">
        <v>72</v>
      </c>
      <c r="J155" s="5" t="n">
        <v>1200</v>
      </c>
      <c r="K155" s="5" t="n">
        <v>1200</v>
      </c>
      <c r="L155" s="5" t="n">
        <v>3e-06</v>
      </c>
      <c r="M155" s="5" t="n">
        <v>0.008</v>
      </c>
      <c r="N155" s="5" t="n">
        <v>0.8</v>
      </c>
      <c r="O155" s="5" t="n">
        <v>30</v>
      </c>
      <c r="P155" s="5" t="n">
        <v>30</v>
      </c>
      <c r="Q155" s="5" t="n">
        <v>0</v>
      </c>
      <c r="R155" s="5" t="n">
        <v>0</v>
      </c>
      <c r="S155" s="5" t="n">
        <v>0</v>
      </c>
      <c r="T155" s="5" t="n">
        <v>0</v>
      </c>
      <c r="U155" s="8" t="n">
        <v>1</v>
      </c>
      <c r="V155" s="8" t="n">
        <v>300</v>
      </c>
      <c r="W155" s="8" t="n">
        <v>8.4</v>
      </c>
      <c r="X155" s="8" t="n">
        <v>168</v>
      </c>
      <c r="Y155" s="8" t="n">
        <v>300</v>
      </c>
      <c r="Z155" s="8" t="n">
        <v>1000</v>
      </c>
      <c r="AA155" s="8" t="n">
        <v>0.0001</v>
      </c>
      <c r="AB155" s="8" t="n">
        <v>0.00015</v>
      </c>
      <c r="AC155" s="8" t="n">
        <v>1.5e-05</v>
      </c>
      <c r="AD155" s="2" t="inlineStr">
        <is>
          <t>原值保留；补值为算例假设，见字段说明</t>
        </is>
      </c>
    </row>
    <row r="156" ht="34" customHeight="1">
      <c r="A156" s="6" t="inlineStr">
        <is>
          <t>TH_0155</t>
        </is>
      </c>
      <c r="B156" s="6" t="inlineStr">
        <is>
          <t>930632000000000000</t>
        </is>
      </c>
      <c r="C156" s="5" t="inlineStr">
        <is>
          <t>苏吕扩G127.0机_JM</t>
        </is>
      </c>
      <c r="D156" s="5" t="n">
        <v>5</v>
      </c>
      <c r="E156" s="6" t="inlineStr">
        <is>
          <t>93043200000000</t>
        </is>
      </c>
      <c r="F156" s="5" t="n">
        <v>1000</v>
      </c>
      <c r="G156" s="5" t="n">
        <v>300</v>
      </c>
      <c r="H156" s="5" t="n">
        <v>168</v>
      </c>
      <c r="I156" s="5" t="n">
        <v>72</v>
      </c>
      <c r="J156" s="5" t="n">
        <v>1200</v>
      </c>
      <c r="K156" s="5" t="n">
        <v>1200</v>
      </c>
      <c r="L156" s="5" t="n">
        <v>3e-06</v>
      </c>
      <c r="M156" s="5" t="n">
        <v>0.008</v>
      </c>
      <c r="N156" s="5" t="n">
        <v>0.8</v>
      </c>
      <c r="O156" s="5" t="n">
        <v>30</v>
      </c>
      <c r="P156" s="5" t="n">
        <v>30</v>
      </c>
      <c r="Q156" s="5" t="n">
        <v>0</v>
      </c>
      <c r="R156" s="5" t="n">
        <v>0</v>
      </c>
      <c r="S156" s="5" t="n">
        <v>0</v>
      </c>
      <c r="T156" s="5" t="n">
        <v>0</v>
      </c>
      <c r="U156" s="8" t="n">
        <v>1</v>
      </c>
      <c r="V156" s="8" t="n">
        <v>300</v>
      </c>
      <c r="W156" s="8" t="n">
        <v>8.4</v>
      </c>
      <c r="X156" s="8" t="n">
        <v>168</v>
      </c>
      <c r="Y156" s="8" t="n">
        <v>300</v>
      </c>
      <c r="Z156" s="8" t="n">
        <v>1000</v>
      </c>
      <c r="AA156" s="8" t="n">
        <v>0.0001</v>
      </c>
      <c r="AB156" s="8" t="n">
        <v>0.00015</v>
      </c>
      <c r="AC156" s="8" t="n">
        <v>1.5e-05</v>
      </c>
      <c r="AD156" s="2" t="inlineStr">
        <is>
          <t>原值保留；补值为算例假设，见字段说明</t>
        </is>
      </c>
    </row>
    <row r="157" ht="34" customHeight="1">
      <c r="A157" s="6" t="inlineStr">
        <is>
          <t>TH_0156</t>
        </is>
      </c>
      <c r="B157" s="6" t="inlineStr">
        <is>
          <t>930632000000000000</t>
        </is>
      </c>
      <c r="C157" s="5" t="inlineStr">
        <is>
          <t>苏吕扩G227.0机_JM</t>
        </is>
      </c>
      <c r="D157" s="5" t="n">
        <v>5</v>
      </c>
      <c r="E157" s="6" t="inlineStr">
        <is>
          <t>93043200000000</t>
        </is>
      </c>
      <c r="F157" s="5" t="n">
        <v>1000</v>
      </c>
      <c r="G157" s="5" t="n">
        <v>300</v>
      </c>
      <c r="H157" s="5" t="n">
        <v>168</v>
      </c>
      <c r="I157" s="5" t="n">
        <v>72</v>
      </c>
      <c r="J157" s="5" t="n">
        <v>1200</v>
      </c>
      <c r="K157" s="5" t="n">
        <v>1200</v>
      </c>
      <c r="L157" s="5" t="n">
        <v>3e-06</v>
      </c>
      <c r="M157" s="5" t="n">
        <v>0.008</v>
      </c>
      <c r="N157" s="5" t="n">
        <v>0.8</v>
      </c>
      <c r="O157" s="5" t="n">
        <v>30</v>
      </c>
      <c r="P157" s="5" t="n">
        <v>30</v>
      </c>
      <c r="Q157" s="5" t="n">
        <v>0</v>
      </c>
      <c r="R157" s="5" t="n">
        <v>0</v>
      </c>
      <c r="S157" s="5" t="n">
        <v>0</v>
      </c>
      <c r="T157" s="5" t="n">
        <v>0</v>
      </c>
      <c r="U157" s="8" t="n">
        <v>1</v>
      </c>
      <c r="V157" s="8" t="n">
        <v>300</v>
      </c>
      <c r="W157" s="8" t="n">
        <v>8.4</v>
      </c>
      <c r="X157" s="8" t="n">
        <v>168</v>
      </c>
      <c r="Y157" s="8" t="n">
        <v>300</v>
      </c>
      <c r="Z157" s="8" t="n">
        <v>1000</v>
      </c>
      <c r="AA157" s="8" t="n">
        <v>0.0001</v>
      </c>
      <c r="AB157" s="8" t="n">
        <v>0.00015</v>
      </c>
      <c r="AC157" s="8" t="n">
        <v>1.5e-05</v>
      </c>
      <c r="AD157" s="2" t="inlineStr">
        <is>
          <t>原值保留；补值为算例假设，见字段说明</t>
        </is>
      </c>
    </row>
    <row r="158" ht="34" customHeight="1">
      <c r="A158" s="6" t="inlineStr">
        <is>
          <t>TH_0157</t>
        </is>
      </c>
      <c r="B158" s="6" t="inlineStr">
        <is>
          <t>930632000000000000</t>
        </is>
      </c>
      <c r="C158" s="5" t="inlineStr">
        <is>
          <t>苏通厂_127.0机_JM</t>
        </is>
      </c>
      <c r="D158" s="5" t="n">
        <v>5</v>
      </c>
      <c r="E158" s="6" t="inlineStr">
        <is>
          <t>93043200000000</t>
        </is>
      </c>
      <c r="F158" s="5" t="n">
        <v>1000</v>
      </c>
      <c r="G158" s="5" t="n">
        <v>300</v>
      </c>
      <c r="H158" s="5" t="n">
        <v>168</v>
      </c>
      <c r="I158" s="5" t="n">
        <v>72</v>
      </c>
      <c r="J158" s="5" t="n">
        <v>1200</v>
      </c>
      <c r="K158" s="5" t="n">
        <v>1200</v>
      </c>
      <c r="L158" s="5" t="n">
        <v>3e-06</v>
      </c>
      <c r="M158" s="5" t="n">
        <v>0.008</v>
      </c>
      <c r="N158" s="5" t="n">
        <v>0.8</v>
      </c>
      <c r="O158" s="5" t="n">
        <v>30</v>
      </c>
      <c r="P158" s="5" t="n">
        <v>30</v>
      </c>
      <c r="Q158" s="5" t="n">
        <v>0</v>
      </c>
      <c r="R158" s="5" t="n">
        <v>0</v>
      </c>
      <c r="S158" s="5" t="n">
        <v>0</v>
      </c>
      <c r="T158" s="5" t="n">
        <v>0</v>
      </c>
      <c r="U158" s="8" t="n">
        <v>1</v>
      </c>
      <c r="V158" s="8" t="n">
        <v>300</v>
      </c>
      <c r="W158" s="8" t="n">
        <v>8.4</v>
      </c>
      <c r="X158" s="8" t="n">
        <v>168</v>
      </c>
      <c r="Y158" s="8" t="n">
        <v>300</v>
      </c>
      <c r="Z158" s="8" t="n">
        <v>1000</v>
      </c>
      <c r="AA158" s="8" t="n">
        <v>0.0001</v>
      </c>
      <c r="AB158" s="8" t="n">
        <v>0.00015</v>
      </c>
      <c r="AC158" s="8" t="n">
        <v>1.5e-05</v>
      </c>
      <c r="AD158" s="2" t="inlineStr">
        <is>
          <t>原值保留；补值为算例假设，见字段说明</t>
        </is>
      </c>
    </row>
    <row r="159" ht="34" customHeight="1">
      <c r="A159" s="6" t="inlineStr">
        <is>
          <t>TH_0158</t>
        </is>
      </c>
      <c r="B159" s="6" t="inlineStr">
        <is>
          <t>930632000000000000</t>
        </is>
      </c>
      <c r="C159" s="5" t="inlineStr">
        <is>
          <t>苏通厂_227.0机_JM</t>
        </is>
      </c>
      <c r="D159" s="5" t="n">
        <v>5</v>
      </c>
      <c r="E159" s="6" t="inlineStr">
        <is>
          <t>93043200000000</t>
        </is>
      </c>
      <c r="F159" s="5" t="n">
        <v>1000</v>
      </c>
      <c r="G159" s="5" t="n">
        <v>300</v>
      </c>
      <c r="H159" s="5" t="n">
        <v>168</v>
      </c>
      <c r="I159" s="5" t="n">
        <v>72</v>
      </c>
      <c r="J159" s="5" t="n">
        <v>1200</v>
      </c>
      <c r="K159" s="5" t="n">
        <v>1200</v>
      </c>
      <c r="L159" s="5" t="n">
        <v>3e-06</v>
      </c>
      <c r="M159" s="5" t="n">
        <v>0.008</v>
      </c>
      <c r="N159" s="5" t="n">
        <v>0.8</v>
      </c>
      <c r="O159" s="5" t="n">
        <v>30</v>
      </c>
      <c r="P159" s="5" t="n">
        <v>30</v>
      </c>
      <c r="Q159" s="5" t="n">
        <v>0</v>
      </c>
      <c r="R159" s="5" t="n">
        <v>0</v>
      </c>
      <c r="S159" s="5" t="n">
        <v>0</v>
      </c>
      <c r="T159" s="5" t="n">
        <v>0</v>
      </c>
      <c r="U159" s="8" t="n">
        <v>1</v>
      </c>
      <c r="V159" s="8" t="n">
        <v>300</v>
      </c>
      <c r="W159" s="8" t="n">
        <v>8.4</v>
      </c>
      <c r="X159" s="8" t="n">
        <v>168</v>
      </c>
      <c r="Y159" s="8" t="n">
        <v>300</v>
      </c>
      <c r="Z159" s="8" t="n">
        <v>1000</v>
      </c>
      <c r="AA159" s="8" t="n">
        <v>0.0001</v>
      </c>
      <c r="AB159" s="8" t="n">
        <v>0.00015</v>
      </c>
      <c r="AC159" s="8" t="n">
        <v>1.5e-05</v>
      </c>
      <c r="AD159" s="2" t="inlineStr">
        <is>
          <t>原值保留；补值为算例假设，见字段说明</t>
        </is>
      </c>
    </row>
    <row r="160" ht="34" customHeight="1">
      <c r="A160" s="6" t="inlineStr">
        <is>
          <t>TH_0159</t>
        </is>
      </c>
      <c r="B160" s="6" t="inlineStr">
        <is>
          <t>930632000000000000</t>
        </is>
      </c>
      <c r="C160" s="5" t="inlineStr">
        <is>
          <t>南通非统调</t>
        </is>
      </c>
      <c r="D160" s="5" t="n">
        <v>5</v>
      </c>
      <c r="E160" s="6" t="inlineStr">
        <is>
          <t>93043200000000</t>
        </is>
      </c>
      <c r="F160" s="5" t="n">
        <v>120</v>
      </c>
      <c r="G160" s="5" t="n">
        <v>72</v>
      </c>
      <c r="H160" s="5" t="n">
        <v>168</v>
      </c>
      <c r="I160" s="5" t="n">
        <v>72</v>
      </c>
      <c r="J160" s="5" t="n">
        <v>144</v>
      </c>
      <c r="K160" s="5" t="n">
        <v>144</v>
      </c>
      <c r="L160" s="5" t="n">
        <v>5e-06</v>
      </c>
      <c r="M160" s="5" t="n">
        <v>0.01</v>
      </c>
      <c r="N160" s="5" t="n">
        <v>0.5</v>
      </c>
      <c r="O160" s="5" t="n">
        <v>8</v>
      </c>
      <c r="P160" s="5" t="n">
        <v>8</v>
      </c>
      <c r="Q160" s="5" t="n">
        <v>0</v>
      </c>
      <c r="R160" s="5" t="n">
        <v>0</v>
      </c>
      <c r="S160" s="5" t="n">
        <v>0</v>
      </c>
      <c r="T160" s="5" t="n">
        <v>0</v>
      </c>
      <c r="U160" s="8" t="n">
        <v>1</v>
      </c>
      <c r="V160" s="8" t="n">
        <v>72</v>
      </c>
      <c r="W160" s="8" t="n">
        <v>8.4</v>
      </c>
      <c r="X160" s="8" t="n">
        <v>168</v>
      </c>
      <c r="Y160" s="8" t="n">
        <v>72</v>
      </c>
      <c r="Z160" s="8" t="n">
        <v>120</v>
      </c>
      <c r="AA160" s="8" t="n">
        <v>0.0001</v>
      </c>
      <c r="AB160" s="8" t="n">
        <v>0.00015</v>
      </c>
      <c r="AC160" s="8" t="n">
        <v>1.5e-05</v>
      </c>
      <c r="AD160" s="2" t="inlineStr">
        <is>
          <t>原值保留；补值为算例假设，见字段说明</t>
        </is>
      </c>
    </row>
    <row r="161" ht="34" customHeight="1">
      <c r="A161" s="6" t="inlineStr">
        <is>
          <t>TH_0160</t>
        </is>
      </c>
      <c r="B161" s="6" t="inlineStr">
        <is>
          <t>930632000000000000</t>
        </is>
      </c>
      <c r="C161" s="5" t="inlineStr">
        <is>
          <t>苏吕四_120.0机_JM</t>
        </is>
      </c>
      <c r="D161" s="5" t="n">
        <v>5</v>
      </c>
      <c r="E161" s="6" t="inlineStr">
        <is>
          <t>93043200000000</t>
        </is>
      </c>
      <c r="F161" s="5" t="n">
        <v>660</v>
      </c>
      <c r="G161" s="5" t="n">
        <v>198</v>
      </c>
      <c r="H161" s="5" t="n">
        <v>168</v>
      </c>
      <c r="I161" s="5" t="n">
        <v>72</v>
      </c>
      <c r="J161" s="5" t="n">
        <v>792</v>
      </c>
      <c r="K161" s="5" t="n">
        <v>792</v>
      </c>
      <c r="L161" s="5" t="n">
        <v>3e-06</v>
      </c>
      <c r="M161" s="5" t="n">
        <v>0.008</v>
      </c>
      <c r="N161" s="5" t="n">
        <v>0.8</v>
      </c>
      <c r="O161" s="5" t="n">
        <v>30</v>
      </c>
      <c r="P161" s="5" t="n">
        <v>30</v>
      </c>
      <c r="Q161" s="5" t="n">
        <v>0</v>
      </c>
      <c r="R161" s="5" t="n">
        <v>0</v>
      </c>
      <c r="S161" s="5" t="n">
        <v>0</v>
      </c>
      <c r="T161" s="5" t="n">
        <v>0</v>
      </c>
      <c r="U161" s="8" t="n">
        <v>1</v>
      </c>
      <c r="V161" s="8" t="n">
        <v>198</v>
      </c>
      <c r="W161" s="8" t="n">
        <v>8.4</v>
      </c>
      <c r="X161" s="8" t="n">
        <v>168</v>
      </c>
      <c r="Y161" s="8" t="n">
        <v>198</v>
      </c>
      <c r="Z161" s="8" t="n">
        <v>660</v>
      </c>
      <c r="AA161" s="8" t="n">
        <v>0.0001</v>
      </c>
      <c r="AB161" s="8" t="n">
        <v>0.00015</v>
      </c>
      <c r="AC161" s="8" t="n">
        <v>1.5e-05</v>
      </c>
      <c r="AD161" s="2" t="inlineStr">
        <is>
          <t>原值保留；补值为算例假设，见字段说明</t>
        </is>
      </c>
    </row>
    <row r="162" ht="34" customHeight="1">
      <c r="A162" s="6" t="inlineStr">
        <is>
          <t>TH_0161</t>
        </is>
      </c>
      <c r="B162" s="6" t="inlineStr">
        <is>
          <t>930632000000000000</t>
        </is>
      </c>
      <c r="C162" s="5" t="inlineStr">
        <is>
          <t>苏吕四_220.0机_JM</t>
        </is>
      </c>
      <c r="D162" s="5" t="n">
        <v>5</v>
      </c>
      <c r="E162" s="6" t="inlineStr">
        <is>
          <t>93043200000000</t>
        </is>
      </c>
      <c r="F162" s="5" t="n">
        <v>660</v>
      </c>
      <c r="G162" s="5" t="n">
        <v>198</v>
      </c>
      <c r="H162" s="5" t="n">
        <v>168</v>
      </c>
      <c r="I162" s="5" t="n">
        <v>72</v>
      </c>
      <c r="J162" s="5" t="n">
        <v>792</v>
      </c>
      <c r="K162" s="5" t="n">
        <v>792</v>
      </c>
      <c r="L162" s="5" t="n">
        <v>3e-06</v>
      </c>
      <c r="M162" s="5" t="n">
        <v>0.008</v>
      </c>
      <c r="N162" s="5" t="n">
        <v>0.8</v>
      </c>
      <c r="O162" s="5" t="n">
        <v>30</v>
      </c>
      <c r="P162" s="5" t="n">
        <v>30</v>
      </c>
      <c r="Q162" s="5" t="n">
        <v>0</v>
      </c>
      <c r="R162" s="5" t="n">
        <v>0</v>
      </c>
      <c r="S162" s="5" t="n">
        <v>0</v>
      </c>
      <c r="T162" s="5" t="n">
        <v>0</v>
      </c>
      <c r="U162" s="8" t="n">
        <v>1</v>
      </c>
      <c r="V162" s="8" t="n">
        <v>198</v>
      </c>
      <c r="W162" s="8" t="n">
        <v>8.4</v>
      </c>
      <c r="X162" s="8" t="n">
        <v>168</v>
      </c>
      <c r="Y162" s="8" t="n">
        <v>198</v>
      </c>
      <c r="Z162" s="8" t="n">
        <v>660</v>
      </c>
      <c r="AA162" s="8" t="n">
        <v>0.0001</v>
      </c>
      <c r="AB162" s="8" t="n">
        <v>0.00015</v>
      </c>
      <c r="AC162" s="8" t="n">
        <v>1.5e-05</v>
      </c>
      <c r="AD162" s="2" t="inlineStr">
        <is>
          <t>原值保留；补值为算例假设，见字段说明</t>
        </is>
      </c>
    </row>
    <row r="163" ht="34" customHeight="1">
      <c r="A163" s="6" t="inlineStr">
        <is>
          <t>TH_0162</t>
        </is>
      </c>
      <c r="B163" s="6" t="inlineStr">
        <is>
          <t>930632000000000000</t>
        </is>
      </c>
      <c r="C163" s="5" t="inlineStr">
        <is>
          <t>苏吕四_320.0机_Jm</t>
        </is>
      </c>
      <c r="D163" s="5" t="n">
        <v>5</v>
      </c>
      <c r="E163" s="6" t="inlineStr">
        <is>
          <t>93043200000000</t>
        </is>
      </c>
      <c r="F163" s="5" t="n">
        <v>660</v>
      </c>
      <c r="G163" s="5" t="n">
        <v>198</v>
      </c>
      <c r="H163" s="5" t="n">
        <v>168</v>
      </c>
      <c r="I163" s="5" t="n">
        <v>72</v>
      </c>
      <c r="J163" s="5" t="n">
        <v>792</v>
      </c>
      <c r="K163" s="5" t="n">
        <v>792</v>
      </c>
      <c r="L163" s="5" t="n">
        <v>3e-06</v>
      </c>
      <c r="M163" s="5" t="n">
        <v>0.008</v>
      </c>
      <c r="N163" s="5" t="n">
        <v>0.8</v>
      </c>
      <c r="O163" s="5" t="n">
        <v>30</v>
      </c>
      <c r="P163" s="5" t="n">
        <v>30</v>
      </c>
      <c r="Q163" s="5" t="n">
        <v>0</v>
      </c>
      <c r="R163" s="5" t="n">
        <v>0</v>
      </c>
      <c r="S163" s="5" t="n">
        <v>0</v>
      </c>
      <c r="T163" s="5" t="n">
        <v>0</v>
      </c>
      <c r="U163" s="8" t="n">
        <v>1</v>
      </c>
      <c r="V163" s="8" t="n">
        <v>198</v>
      </c>
      <c r="W163" s="8" t="n">
        <v>8.4</v>
      </c>
      <c r="X163" s="8" t="n">
        <v>168</v>
      </c>
      <c r="Y163" s="8" t="n">
        <v>198</v>
      </c>
      <c r="Z163" s="8" t="n">
        <v>660</v>
      </c>
      <c r="AA163" s="8" t="n">
        <v>0.0001</v>
      </c>
      <c r="AB163" s="8" t="n">
        <v>0.00015</v>
      </c>
      <c r="AC163" s="8" t="n">
        <v>1.5e-05</v>
      </c>
      <c r="AD163" s="2" t="inlineStr">
        <is>
          <t>原值保留；补值为算例假设，见字段说明</t>
        </is>
      </c>
    </row>
    <row r="164" ht="34" customHeight="1">
      <c r="A164" s="6" t="inlineStr">
        <is>
          <t>TH_0163</t>
        </is>
      </c>
      <c r="B164" s="6" t="inlineStr">
        <is>
          <t>930632000000000000</t>
        </is>
      </c>
      <c r="C164" s="5" t="inlineStr">
        <is>
          <t>苏吕四_420.0机_Jm</t>
        </is>
      </c>
      <c r="D164" s="5" t="n">
        <v>5</v>
      </c>
      <c r="E164" s="6" t="inlineStr">
        <is>
          <t>93043200000000</t>
        </is>
      </c>
      <c r="F164" s="5" t="n">
        <v>660</v>
      </c>
      <c r="G164" s="5" t="n">
        <v>198</v>
      </c>
      <c r="H164" s="5" t="n">
        <v>168</v>
      </c>
      <c r="I164" s="5" t="n">
        <v>72</v>
      </c>
      <c r="J164" s="5" t="n">
        <v>792</v>
      </c>
      <c r="K164" s="5" t="n">
        <v>792</v>
      </c>
      <c r="L164" s="5" t="n">
        <v>3e-06</v>
      </c>
      <c r="M164" s="5" t="n">
        <v>0.008</v>
      </c>
      <c r="N164" s="5" t="n">
        <v>0.8</v>
      </c>
      <c r="O164" s="5" t="n">
        <v>30</v>
      </c>
      <c r="P164" s="5" t="n">
        <v>30</v>
      </c>
      <c r="Q164" s="5" t="n">
        <v>0</v>
      </c>
      <c r="R164" s="5" t="n">
        <v>0</v>
      </c>
      <c r="S164" s="5" t="n">
        <v>0</v>
      </c>
      <c r="T164" s="5" t="n">
        <v>0</v>
      </c>
      <c r="U164" s="8" t="n">
        <v>1</v>
      </c>
      <c r="V164" s="8" t="n">
        <v>198</v>
      </c>
      <c r="W164" s="8" t="n">
        <v>8.4</v>
      </c>
      <c r="X164" s="8" t="n">
        <v>168</v>
      </c>
      <c r="Y164" s="8" t="n">
        <v>198</v>
      </c>
      <c r="Z164" s="8" t="n">
        <v>660</v>
      </c>
      <c r="AA164" s="8" t="n">
        <v>0.0001</v>
      </c>
      <c r="AB164" s="8" t="n">
        <v>0.00015</v>
      </c>
      <c r="AC164" s="8" t="n">
        <v>1.5e-05</v>
      </c>
      <c r="AD164" s="2" t="inlineStr">
        <is>
          <t>原值保留；补值为算例假设，见字段说明</t>
        </is>
      </c>
    </row>
    <row r="165" ht="34" customHeight="1">
      <c r="A165" s="6" t="inlineStr">
        <is>
          <t>TH_0164</t>
        </is>
      </c>
      <c r="B165" s="6" t="inlineStr">
        <is>
          <t>930632000000000000</t>
        </is>
      </c>
      <c r="C165" s="5" t="inlineStr">
        <is>
          <t>苏华通_323.0机_Jm</t>
        </is>
      </c>
      <c r="D165" s="5" t="n">
        <v>5</v>
      </c>
      <c r="E165" s="6" t="inlineStr">
        <is>
          <t>93043200000000</t>
        </is>
      </c>
      <c r="F165" s="5" t="n">
        <v>350</v>
      </c>
      <c r="G165" s="5" t="n">
        <v>105</v>
      </c>
      <c r="H165" s="5" t="n">
        <v>168</v>
      </c>
      <c r="I165" s="5" t="n">
        <v>72</v>
      </c>
      <c r="J165" s="5" t="n">
        <v>420</v>
      </c>
      <c r="K165" s="5" t="n">
        <v>420</v>
      </c>
      <c r="L165" s="5" t="n">
        <v>5e-06</v>
      </c>
      <c r="M165" s="5" t="n">
        <v>0.01</v>
      </c>
      <c r="N165" s="5" t="n">
        <v>0.5</v>
      </c>
      <c r="O165" s="5" t="n">
        <v>8</v>
      </c>
      <c r="P165" s="5" t="n">
        <v>8</v>
      </c>
      <c r="Q165" s="5" t="n">
        <v>0</v>
      </c>
      <c r="R165" s="5" t="n">
        <v>0</v>
      </c>
      <c r="S165" s="5" t="n">
        <v>0</v>
      </c>
      <c r="T165" s="5" t="n">
        <v>0</v>
      </c>
      <c r="U165" s="8" t="n">
        <v>1</v>
      </c>
      <c r="V165" s="8" t="n">
        <v>105</v>
      </c>
      <c r="W165" s="8" t="n">
        <v>8.4</v>
      </c>
      <c r="X165" s="8" t="n">
        <v>168</v>
      </c>
      <c r="Y165" s="8" t="n">
        <v>105</v>
      </c>
      <c r="Z165" s="8" t="n">
        <v>350</v>
      </c>
      <c r="AA165" s="8" t="n">
        <v>0.0001</v>
      </c>
      <c r="AB165" s="8" t="n">
        <v>0.00015</v>
      </c>
      <c r="AC165" s="8" t="n">
        <v>1.5e-05</v>
      </c>
      <c r="AD165" s="2" t="inlineStr">
        <is>
          <t>原值保留；补值为算例假设，见字段说明</t>
        </is>
      </c>
    </row>
    <row r="166" ht="34" customHeight="1">
      <c r="A166" s="6" t="inlineStr">
        <is>
          <t>TH_0165</t>
        </is>
      </c>
      <c r="B166" s="6" t="inlineStr">
        <is>
          <t>930632000000000000</t>
        </is>
      </c>
      <c r="C166" s="5" t="inlineStr">
        <is>
          <t>苏华通_423.0机_Jm</t>
        </is>
      </c>
      <c r="D166" s="5" t="n">
        <v>5</v>
      </c>
      <c r="E166" s="6" t="inlineStr">
        <is>
          <t>93043200000000</t>
        </is>
      </c>
      <c r="F166" s="5" t="n">
        <v>350</v>
      </c>
      <c r="G166" s="5" t="n">
        <v>105</v>
      </c>
      <c r="H166" s="5" t="n">
        <v>168</v>
      </c>
      <c r="I166" s="5" t="n">
        <v>72</v>
      </c>
      <c r="J166" s="5" t="n">
        <v>420</v>
      </c>
      <c r="K166" s="5" t="n">
        <v>420</v>
      </c>
      <c r="L166" s="5" t="n">
        <v>5e-06</v>
      </c>
      <c r="M166" s="5" t="n">
        <v>0.01</v>
      </c>
      <c r="N166" s="5" t="n">
        <v>0.5</v>
      </c>
      <c r="O166" s="5" t="n">
        <v>8</v>
      </c>
      <c r="P166" s="5" t="n">
        <v>8</v>
      </c>
      <c r="Q166" s="5" t="n">
        <v>0</v>
      </c>
      <c r="R166" s="5" t="n">
        <v>0</v>
      </c>
      <c r="S166" s="5" t="n">
        <v>0</v>
      </c>
      <c r="T166" s="5" t="n">
        <v>0</v>
      </c>
      <c r="U166" s="8" t="n">
        <v>1</v>
      </c>
      <c r="V166" s="8" t="n">
        <v>105</v>
      </c>
      <c r="W166" s="8" t="n">
        <v>8.4</v>
      </c>
      <c r="X166" s="8" t="n">
        <v>168</v>
      </c>
      <c r="Y166" s="8" t="n">
        <v>105</v>
      </c>
      <c r="Z166" s="8" t="n">
        <v>350</v>
      </c>
      <c r="AA166" s="8" t="n">
        <v>0.0001</v>
      </c>
      <c r="AB166" s="8" t="n">
        <v>0.00015</v>
      </c>
      <c r="AC166" s="8" t="n">
        <v>1.5e-05</v>
      </c>
      <c r="AD166" s="2" t="inlineStr">
        <is>
          <t>原值保留；补值为算例假设，见字段说明</t>
        </is>
      </c>
    </row>
    <row r="167" ht="34" customHeight="1">
      <c r="A167" s="6" t="inlineStr">
        <is>
          <t>TH_0166</t>
        </is>
      </c>
      <c r="B167" s="6" t="inlineStr">
        <is>
          <t>930632000000000000</t>
        </is>
      </c>
      <c r="C167" s="5" t="inlineStr">
        <is>
          <t>苏天厂_120.0机_Jm</t>
        </is>
      </c>
      <c r="D167" s="5" t="n">
        <v>5</v>
      </c>
      <c r="E167" s="6" t="inlineStr">
        <is>
          <t>93043200000000</t>
        </is>
      </c>
      <c r="F167" s="5" t="n">
        <v>330</v>
      </c>
      <c r="G167" s="5" t="n">
        <v>99</v>
      </c>
      <c r="H167" s="5" t="n">
        <v>168</v>
      </c>
      <c r="I167" s="5" t="n">
        <v>72</v>
      </c>
      <c r="J167" s="5" t="n">
        <v>396</v>
      </c>
      <c r="K167" s="5" t="n">
        <v>396</v>
      </c>
      <c r="L167" s="5" t="n">
        <v>5e-06</v>
      </c>
      <c r="M167" s="5" t="n">
        <v>0.01</v>
      </c>
      <c r="N167" s="5" t="n">
        <v>0.5</v>
      </c>
      <c r="O167" s="5" t="n">
        <v>8</v>
      </c>
      <c r="P167" s="5" t="n">
        <v>8</v>
      </c>
      <c r="Q167" s="5" t="n">
        <v>0</v>
      </c>
      <c r="R167" s="5" t="n">
        <v>0</v>
      </c>
      <c r="S167" s="5" t="n">
        <v>0</v>
      </c>
      <c r="T167" s="5" t="n">
        <v>0</v>
      </c>
      <c r="U167" s="8" t="n">
        <v>1</v>
      </c>
      <c r="V167" s="8" t="n">
        <v>99</v>
      </c>
      <c r="W167" s="8" t="n">
        <v>8.4</v>
      </c>
      <c r="X167" s="8" t="n">
        <v>168</v>
      </c>
      <c r="Y167" s="8" t="n">
        <v>99</v>
      </c>
      <c r="Z167" s="8" t="n">
        <v>330</v>
      </c>
      <c r="AA167" s="8" t="n">
        <v>0.0001</v>
      </c>
      <c r="AB167" s="8" t="n">
        <v>0.00015</v>
      </c>
      <c r="AC167" s="8" t="n">
        <v>1.5e-05</v>
      </c>
      <c r="AD167" s="2" t="inlineStr">
        <is>
          <t>原值保留；补值为算例假设，见字段说明</t>
        </is>
      </c>
    </row>
    <row r="168" ht="34" customHeight="1">
      <c r="A168" s="6" t="inlineStr">
        <is>
          <t>TH_0167</t>
        </is>
      </c>
      <c r="B168" s="6" t="inlineStr">
        <is>
          <t>930632000000000000</t>
        </is>
      </c>
      <c r="C168" s="5" t="inlineStr">
        <is>
          <t>苏天厂_220.0机_Jm</t>
        </is>
      </c>
      <c r="D168" s="5" t="n">
        <v>5</v>
      </c>
      <c r="E168" s="6" t="inlineStr">
        <is>
          <t>93043200000000</t>
        </is>
      </c>
      <c r="F168" s="5" t="n">
        <v>330</v>
      </c>
      <c r="G168" s="5" t="n">
        <v>99</v>
      </c>
      <c r="H168" s="5" t="n">
        <v>168</v>
      </c>
      <c r="I168" s="5" t="n">
        <v>72</v>
      </c>
      <c r="J168" s="5" t="n">
        <v>396</v>
      </c>
      <c r="K168" s="5" t="n">
        <v>396</v>
      </c>
      <c r="L168" s="5" t="n">
        <v>5e-06</v>
      </c>
      <c r="M168" s="5" t="n">
        <v>0.01</v>
      </c>
      <c r="N168" s="5" t="n">
        <v>0.5</v>
      </c>
      <c r="O168" s="5" t="n">
        <v>8</v>
      </c>
      <c r="P168" s="5" t="n">
        <v>8</v>
      </c>
      <c r="Q168" s="5" t="n">
        <v>0</v>
      </c>
      <c r="R168" s="5" t="n">
        <v>0</v>
      </c>
      <c r="S168" s="5" t="n">
        <v>0</v>
      </c>
      <c r="T168" s="5" t="n">
        <v>0</v>
      </c>
      <c r="U168" s="8" t="n">
        <v>1</v>
      </c>
      <c r="V168" s="8" t="n">
        <v>99</v>
      </c>
      <c r="W168" s="8" t="n">
        <v>8.4</v>
      </c>
      <c r="X168" s="8" t="n">
        <v>168</v>
      </c>
      <c r="Y168" s="8" t="n">
        <v>99</v>
      </c>
      <c r="Z168" s="8" t="n">
        <v>330</v>
      </c>
      <c r="AA168" s="8" t="n">
        <v>0.0001</v>
      </c>
      <c r="AB168" s="8" t="n">
        <v>0.00015</v>
      </c>
      <c r="AC168" s="8" t="n">
        <v>1.5e-05</v>
      </c>
      <c r="AD168" s="2" t="inlineStr">
        <is>
          <t>原值保留；补值为算例假设，见字段说明</t>
        </is>
      </c>
    </row>
    <row r="169" ht="34" customHeight="1">
      <c r="A169" s="6" t="inlineStr">
        <is>
          <t>TH_0168</t>
        </is>
      </c>
      <c r="B169" s="6" t="inlineStr">
        <is>
          <t>930632000000000000</t>
        </is>
      </c>
      <c r="C169" s="5" t="inlineStr">
        <is>
          <t>苏中自G113.8机_Jm</t>
        </is>
      </c>
      <c r="D169" s="5" t="n">
        <v>5</v>
      </c>
      <c r="E169" s="6" t="inlineStr">
        <is>
          <t>93043200000000</t>
        </is>
      </c>
      <c r="F169" s="5" t="n">
        <v>100</v>
      </c>
      <c r="G169" s="5" t="n">
        <v>45</v>
      </c>
      <c r="H169" s="5" t="n">
        <v>168</v>
      </c>
      <c r="I169" s="5" t="n">
        <v>72</v>
      </c>
      <c r="J169" s="5" t="n">
        <v>120</v>
      </c>
      <c r="K169" s="5" t="n">
        <v>120</v>
      </c>
      <c r="L169" s="5" t="n">
        <v>8e-06</v>
      </c>
      <c r="M169" s="5" t="n">
        <v>0.012</v>
      </c>
      <c r="N169" s="5" t="n">
        <v>0.3</v>
      </c>
      <c r="O169" s="5" t="n">
        <v>3</v>
      </c>
      <c r="P169" s="5" t="n">
        <v>3</v>
      </c>
      <c r="Q169" s="5" t="n">
        <v>0</v>
      </c>
      <c r="R169" s="5" t="n">
        <v>0</v>
      </c>
      <c r="S169" s="5" t="n">
        <v>0</v>
      </c>
      <c r="T169" s="5" t="n">
        <v>0</v>
      </c>
      <c r="U169" s="8" t="n">
        <v>1</v>
      </c>
      <c r="V169" s="8" t="n">
        <v>45</v>
      </c>
      <c r="W169" s="8" t="n">
        <v>8.4</v>
      </c>
      <c r="X169" s="8" t="n">
        <v>168</v>
      </c>
      <c r="Y169" s="8" t="n">
        <v>45</v>
      </c>
      <c r="Z169" s="8" t="n">
        <v>100</v>
      </c>
      <c r="AA169" s="8" t="n">
        <v>0.0001</v>
      </c>
      <c r="AB169" s="8" t="n">
        <v>0.00015</v>
      </c>
      <c r="AC169" s="8" t="n">
        <v>1.5e-05</v>
      </c>
      <c r="AD169" s="2" t="inlineStr">
        <is>
          <t>原值保留；补值为算例假设，见字段说明</t>
        </is>
      </c>
    </row>
    <row r="170" ht="34" customHeight="1">
      <c r="A170" s="6" t="inlineStr">
        <is>
          <t>TH_0169</t>
        </is>
      </c>
      <c r="B170" s="6" t="inlineStr">
        <is>
          <t>930632000000000000</t>
        </is>
      </c>
      <c r="C170" s="5" t="inlineStr">
        <is>
          <t>苏中自G213.8机_Jm</t>
        </is>
      </c>
      <c r="D170" s="5" t="n">
        <v>5</v>
      </c>
      <c r="E170" s="6" t="inlineStr">
        <is>
          <t>93043200000000</t>
        </is>
      </c>
      <c r="F170" s="5" t="n">
        <v>100</v>
      </c>
      <c r="G170" s="5" t="n">
        <v>45</v>
      </c>
      <c r="H170" s="5" t="n">
        <v>168</v>
      </c>
      <c r="I170" s="5" t="n">
        <v>72</v>
      </c>
      <c r="J170" s="5" t="n">
        <v>120</v>
      </c>
      <c r="K170" s="5" t="n">
        <v>120</v>
      </c>
      <c r="L170" s="5" t="n">
        <v>8e-06</v>
      </c>
      <c r="M170" s="5" t="n">
        <v>0.012</v>
      </c>
      <c r="N170" s="5" t="n">
        <v>0.3</v>
      </c>
      <c r="O170" s="5" t="n">
        <v>3</v>
      </c>
      <c r="P170" s="5" t="n">
        <v>3</v>
      </c>
      <c r="Q170" s="5" t="n">
        <v>0</v>
      </c>
      <c r="R170" s="5" t="n">
        <v>0</v>
      </c>
      <c r="S170" s="5" t="n">
        <v>0</v>
      </c>
      <c r="T170" s="5" t="n">
        <v>0</v>
      </c>
      <c r="U170" s="8" t="n">
        <v>1</v>
      </c>
      <c r="V170" s="8" t="n">
        <v>45</v>
      </c>
      <c r="W170" s="8" t="n">
        <v>8.4</v>
      </c>
      <c r="X170" s="8" t="n">
        <v>168</v>
      </c>
      <c r="Y170" s="8" t="n">
        <v>45</v>
      </c>
      <c r="Z170" s="8" t="n">
        <v>100</v>
      </c>
      <c r="AA170" s="8" t="n">
        <v>0.0001</v>
      </c>
      <c r="AB170" s="8" t="n">
        <v>0.00015</v>
      </c>
      <c r="AC170" s="8" t="n">
        <v>1.5e-05</v>
      </c>
      <c r="AD170" s="2" t="inlineStr">
        <is>
          <t>原值保留；补值为算例假设，见字段说明</t>
        </is>
      </c>
    </row>
    <row r="171" ht="34" customHeight="1">
      <c r="A171" s="6" t="inlineStr">
        <is>
          <t>TH_0170</t>
        </is>
      </c>
      <c r="B171" s="6" t="inlineStr">
        <is>
          <t>930632000000000000</t>
        </is>
      </c>
      <c r="C171" s="5" t="inlineStr">
        <is>
          <t>苏中自G313.8机_Jm</t>
        </is>
      </c>
      <c r="D171" s="5" t="n">
        <v>5</v>
      </c>
      <c r="E171" s="6" t="inlineStr">
        <is>
          <t>93043200000000</t>
        </is>
      </c>
      <c r="F171" s="5" t="n">
        <v>100</v>
      </c>
      <c r="G171" s="5" t="n">
        <v>45</v>
      </c>
      <c r="H171" s="5" t="n">
        <v>168</v>
      </c>
      <c r="I171" s="5" t="n">
        <v>72</v>
      </c>
      <c r="J171" s="5" t="n">
        <v>120</v>
      </c>
      <c r="K171" s="5" t="n">
        <v>120</v>
      </c>
      <c r="L171" s="5" t="n">
        <v>8e-06</v>
      </c>
      <c r="M171" s="5" t="n">
        <v>0.012</v>
      </c>
      <c r="N171" s="5" t="n">
        <v>0.3</v>
      </c>
      <c r="O171" s="5" t="n">
        <v>3</v>
      </c>
      <c r="P171" s="5" t="n">
        <v>3</v>
      </c>
      <c r="Q171" s="5" t="n">
        <v>0</v>
      </c>
      <c r="R171" s="5" t="n">
        <v>0</v>
      </c>
      <c r="S171" s="5" t="n">
        <v>0</v>
      </c>
      <c r="T171" s="5" t="n">
        <v>0</v>
      </c>
      <c r="U171" s="8" t="n">
        <v>1</v>
      </c>
      <c r="V171" s="8" t="n">
        <v>45</v>
      </c>
      <c r="W171" s="8" t="n">
        <v>8.4</v>
      </c>
      <c r="X171" s="8" t="n">
        <v>168</v>
      </c>
      <c r="Y171" s="8" t="n">
        <v>45</v>
      </c>
      <c r="Z171" s="8" t="n">
        <v>100</v>
      </c>
      <c r="AA171" s="8" t="n">
        <v>0.0001</v>
      </c>
      <c r="AB171" s="8" t="n">
        <v>0.00015</v>
      </c>
      <c r="AC171" s="8" t="n">
        <v>1.5e-05</v>
      </c>
      <c r="AD171" s="2" t="inlineStr">
        <is>
          <t>原值保留；补值为算例假设，见字段说明</t>
        </is>
      </c>
    </row>
    <row r="172" ht="34" customHeight="1">
      <c r="A172" s="6" t="inlineStr">
        <is>
          <t>TH_0171</t>
        </is>
      </c>
      <c r="B172" s="6" t="inlineStr">
        <is>
          <t>930632000000000000</t>
        </is>
      </c>
      <c r="C172" s="5" t="inlineStr">
        <is>
          <t>苏中自G413.8机_Jm</t>
        </is>
      </c>
      <c r="D172" s="5" t="n">
        <v>5</v>
      </c>
      <c r="E172" s="6" t="inlineStr">
        <is>
          <t>93043200000000</t>
        </is>
      </c>
      <c r="F172" s="5" t="n">
        <v>100</v>
      </c>
      <c r="G172" s="5" t="n">
        <v>45</v>
      </c>
      <c r="H172" s="5" t="n">
        <v>168</v>
      </c>
      <c r="I172" s="5" t="n">
        <v>72</v>
      </c>
      <c r="J172" s="5" t="n">
        <v>120</v>
      </c>
      <c r="K172" s="5" t="n">
        <v>120</v>
      </c>
      <c r="L172" s="5" t="n">
        <v>8e-06</v>
      </c>
      <c r="M172" s="5" t="n">
        <v>0.012</v>
      </c>
      <c r="N172" s="5" t="n">
        <v>0.3</v>
      </c>
      <c r="O172" s="5" t="n">
        <v>3</v>
      </c>
      <c r="P172" s="5" t="n">
        <v>3</v>
      </c>
      <c r="Q172" s="5" t="n">
        <v>0</v>
      </c>
      <c r="R172" s="5" t="n">
        <v>0</v>
      </c>
      <c r="S172" s="5" t="n">
        <v>0</v>
      </c>
      <c r="T172" s="5" t="n">
        <v>0</v>
      </c>
      <c r="U172" s="8" t="n">
        <v>1</v>
      </c>
      <c r="V172" s="8" t="n">
        <v>45</v>
      </c>
      <c r="W172" s="8" t="n">
        <v>8.4</v>
      </c>
      <c r="X172" s="8" t="n">
        <v>168</v>
      </c>
      <c r="Y172" s="8" t="n">
        <v>45</v>
      </c>
      <c r="Z172" s="8" t="n">
        <v>100</v>
      </c>
      <c r="AA172" s="8" t="n">
        <v>0.0001</v>
      </c>
      <c r="AB172" s="8" t="n">
        <v>0.00015</v>
      </c>
      <c r="AC172" s="8" t="n">
        <v>1.5e-05</v>
      </c>
      <c r="AD172" s="2" t="inlineStr">
        <is>
          <t>原值保留；补值为算例假设，见字段说明</t>
        </is>
      </c>
    </row>
    <row r="173" ht="34" customHeight="1">
      <c r="A173" s="6" t="inlineStr">
        <is>
          <t>TH_0172</t>
        </is>
      </c>
      <c r="B173" s="6" t="inlineStr">
        <is>
          <t>930632000000000000</t>
        </is>
      </c>
      <c r="C173" s="5" t="inlineStr">
        <is>
          <t>苏中自G513.8机_Jm</t>
        </is>
      </c>
      <c r="D173" s="5" t="n">
        <v>5</v>
      </c>
      <c r="E173" s="6" t="inlineStr">
        <is>
          <t>93043200000000</t>
        </is>
      </c>
      <c r="F173" s="5" t="n">
        <v>100</v>
      </c>
      <c r="G173" s="5" t="n">
        <v>45</v>
      </c>
      <c r="H173" s="5" t="n">
        <v>168</v>
      </c>
      <c r="I173" s="5" t="n">
        <v>72</v>
      </c>
      <c r="J173" s="5" t="n">
        <v>120</v>
      </c>
      <c r="K173" s="5" t="n">
        <v>120</v>
      </c>
      <c r="L173" s="5" t="n">
        <v>8e-06</v>
      </c>
      <c r="M173" s="5" t="n">
        <v>0.012</v>
      </c>
      <c r="N173" s="5" t="n">
        <v>0.3</v>
      </c>
      <c r="O173" s="5" t="n">
        <v>3</v>
      </c>
      <c r="P173" s="5" t="n">
        <v>3</v>
      </c>
      <c r="Q173" s="5" t="n">
        <v>0</v>
      </c>
      <c r="R173" s="5" t="n">
        <v>0</v>
      </c>
      <c r="S173" s="5" t="n">
        <v>0</v>
      </c>
      <c r="T173" s="5" t="n">
        <v>0</v>
      </c>
      <c r="U173" s="8" t="n">
        <v>1</v>
      </c>
      <c r="V173" s="8" t="n">
        <v>45</v>
      </c>
      <c r="W173" s="8" t="n">
        <v>8.4</v>
      </c>
      <c r="X173" s="8" t="n">
        <v>168</v>
      </c>
      <c r="Y173" s="8" t="n">
        <v>45</v>
      </c>
      <c r="Z173" s="8" t="n">
        <v>100</v>
      </c>
      <c r="AA173" s="8" t="n">
        <v>0.0001</v>
      </c>
      <c r="AB173" s="8" t="n">
        <v>0.00015</v>
      </c>
      <c r="AC173" s="8" t="n">
        <v>1.5e-05</v>
      </c>
      <c r="AD173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5"/>
  <sheetViews>
    <sheetView showGridLines="0" tabSelected="1" workbookViewId="0">
      <pane xSplit="2" ySplit="1" topLeftCell="C101" activePane="bottomRight" state="frozen"/>
      <selection activeCell="A1" sqref="A1"/>
      <selection pane="topRight" activeCell="A1" sqref="A1"/>
      <selection pane="bottomLeft" activeCell="A1" sqref="A1"/>
      <selection pane="bottomRight" activeCell="C107" sqref="C107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7"/>
    <col width="48" customWidth="1" min="28" max="28"/>
    <col width="22" customWidth="1" min="29" max="29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INIT_STATUS</t>
        </is>
      </c>
      <c r="V1" s="1" t="inlineStr">
        <is>
          <t>INIT_POWER</t>
        </is>
      </c>
      <c r="W1" s="1" t="inlineStr">
        <is>
          <t>FOM_COST_PERIOD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CO2_FACTOR</t>
        </is>
      </c>
      <c r="AA1" s="1" t="inlineStr">
        <is>
          <t>GEN_COST</t>
        </is>
      </c>
      <c r="AB1" s="1" t="inlineStr">
        <is>
          <t>DataStatus</t>
        </is>
      </c>
      <c r="AC1" s="1" t="inlineStr">
        <is>
          <t>INIT_HOURS</t>
        </is>
      </c>
    </row>
    <row r="2" ht="34" customHeight="1">
      <c r="A2" s="6" t="inlineStr">
        <is>
          <t>GAS_0001</t>
        </is>
      </c>
      <c r="B2" s="6" t="inlineStr">
        <is>
          <t>930632000000000000</t>
        </is>
      </c>
      <c r="C2" s="5" t="inlineStr">
        <is>
          <t>苏协鑫_410.5机_Jr</t>
        </is>
      </c>
      <c r="D2" s="5" t="n">
        <v>1</v>
      </c>
      <c r="E2" s="6" t="inlineStr">
        <is>
          <t>93043200000000</t>
        </is>
      </c>
      <c r="F2" s="5" t="n">
        <v>60</v>
      </c>
      <c r="G2" s="5" t="n">
        <v>46.8</v>
      </c>
      <c r="H2" s="5" t="n">
        <v>168</v>
      </c>
      <c r="I2" s="5" t="n">
        <v>96</v>
      </c>
      <c r="J2" s="5" t="n">
        <v>72</v>
      </c>
      <c r="K2" s="5" t="n">
        <v>72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0</v>
      </c>
      <c r="S2" s="5" t="n">
        <v>0</v>
      </c>
      <c r="T2" s="5" t="n">
        <v>0</v>
      </c>
      <c r="U2" s="8" t="n">
        <v>0</v>
      </c>
      <c r="V2" s="8" t="n">
        <v>0</v>
      </c>
      <c r="W2" s="8" t="n">
        <v>7.4</v>
      </c>
      <c r="X2" s="8" t="n">
        <v>60</v>
      </c>
      <c r="Y2" s="8" t="n">
        <v>60</v>
      </c>
      <c r="Z2" s="8" t="n">
        <v>0.40392</v>
      </c>
      <c r="AA2" s="8" t="n">
        <v>0.04</v>
      </c>
      <c r="AB2" s="2" t="inlineStr">
        <is>
          <t>原值保留；补值为算例假设，见字段说明</t>
        </is>
      </c>
      <c r="AC2" s="8" t="n">
        <v>168</v>
      </c>
    </row>
    <row r="3" ht="34" customHeight="1">
      <c r="A3" t="inlineStr">
        <is>
          <t>GAS_0002</t>
        </is>
      </c>
      <c r="B3" t="inlineStr">
        <is>
          <t>930632000000000000</t>
        </is>
      </c>
      <c r="C3" t="inlineStr">
        <is>
          <t>苏协鑫_313.8机_Jr</t>
        </is>
      </c>
      <c r="D3" t="n">
        <v>1</v>
      </c>
      <c r="E3" t="inlineStr">
        <is>
          <t>93043200000000</t>
        </is>
      </c>
      <c r="F3" t="n">
        <v>120</v>
      </c>
      <c r="G3" t="n">
        <v>93.59999999999999</v>
      </c>
      <c r="H3" t="n">
        <v>168</v>
      </c>
      <c r="I3" t="n">
        <v>96</v>
      </c>
      <c r="J3" t="n">
        <v>144</v>
      </c>
      <c r="K3" t="n">
        <v>144</v>
      </c>
      <c r="L3" t="n">
        <v>8e-06</v>
      </c>
      <c r="M3" t="n">
        <v>0.012</v>
      </c>
      <c r="N3" t="n">
        <v>0.3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7.4</v>
      </c>
      <c r="X3" t="n">
        <v>120</v>
      </c>
      <c r="Y3" t="n">
        <v>120</v>
      </c>
      <c r="Z3" t="n">
        <v>0.40392</v>
      </c>
      <c r="AA3" t="n">
        <v>0.04</v>
      </c>
      <c r="AB3" t="inlineStr">
        <is>
          <t>原值保留；补值为算例假设，见字段说明</t>
        </is>
      </c>
      <c r="AC3" t="n">
        <v>168</v>
      </c>
    </row>
    <row r="4" ht="34" customHeight="1">
      <c r="A4" t="inlineStr">
        <is>
          <t>GAS_0003</t>
        </is>
      </c>
      <c r="B4" t="inlineStr">
        <is>
          <t>930632000000000000</t>
        </is>
      </c>
      <c r="C4" t="inlineStr">
        <is>
          <t>苏协鑫_210.5机_Jr</t>
        </is>
      </c>
      <c r="D4" t="n">
        <v>1</v>
      </c>
      <c r="E4" t="inlineStr">
        <is>
          <t>93043200000000</t>
        </is>
      </c>
      <c r="F4" t="n">
        <v>60</v>
      </c>
      <c r="G4" t="n">
        <v>46.8</v>
      </c>
      <c r="H4" t="n">
        <v>168</v>
      </c>
      <c r="I4" t="n">
        <v>96</v>
      </c>
      <c r="J4" t="n">
        <v>72</v>
      </c>
      <c r="K4" t="n">
        <v>72</v>
      </c>
      <c r="L4" t="n">
        <v>8e-06</v>
      </c>
      <c r="M4" t="n">
        <v>0.012</v>
      </c>
      <c r="N4" t="n">
        <v>0.3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7.4</v>
      </c>
      <c r="X4" t="n">
        <v>60</v>
      </c>
      <c r="Y4" t="n">
        <v>60</v>
      </c>
      <c r="Z4" t="n">
        <v>0.40392</v>
      </c>
      <c r="AA4" t="n">
        <v>0.04</v>
      </c>
      <c r="AB4" t="inlineStr">
        <is>
          <t>原值保留；补值为算例假设，见字段说明</t>
        </is>
      </c>
      <c r="AC4" t="n">
        <v>168</v>
      </c>
    </row>
    <row r="5" ht="34" customHeight="1">
      <c r="A5" t="inlineStr">
        <is>
          <t>GAS_0004</t>
        </is>
      </c>
      <c r="B5" t="inlineStr">
        <is>
          <t>930632000000000000</t>
        </is>
      </c>
      <c r="C5" t="inlineStr">
        <is>
          <t>苏协鑫_113.8机_Jr</t>
        </is>
      </c>
      <c r="D5" t="n">
        <v>1</v>
      </c>
      <c r="E5" t="inlineStr">
        <is>
          <t>93043200000000</t>
        </is>
      </c>
      <c r="F5" t="n">
        <v>120</v>
      </c>
      <c r="G5" t="n">
        <v>93.59999999999999</v>
      </c>
      <c r="H5" t="n">
        <v>168</v>
      </c>
      <c r="I5" t="n">
        <v>96</v>
      </c>
      <c r="J5" t="n">
        <v>144</v>
      </c>
      <c r="K5" t="n">
        <v>144</v>
      </c>
      <c r="L5" t="n">
        <v>8e-06</v>
      </c>
      <c r="M5" t="n">
        <v>0.012</v>
      </c>
      <c r="N5" t="n">
        <v>0.3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7.4</v>
      </c>
      <c r="X5" t="n">
        <v>120</v>
      </c>
      <c r="Y5" t="n">
        <v>120</v>
      </c>
      <c r="Z5" t="n">
        <v>0.40392</v>
      </c>
      <c r="AA5" t="n">
        <v>0.04</v>
      </c>
      <c r="AB5" t="inlineStr">
        <is>
          <t>原值保留；补值为算例假设，见字段说明</t>
        </is>
      </c>
      <c r="AC5" t="n">
        <v>168</v>
      </c>
    </row>
    <row r="6" ht="34" customHeight="1">
      <c r="A6" t="inlineStr">
        <is>
          <t>GAS_0005</t>
        </is>
      </c>
      <c r="B6" t="inlineStr">
        <is>
          <t>930632000000000000</t>
        </is>
      </c>
      <c r="C6" t="inlineStr">
        <is>
          <t>苏协燃G410.5机_Jr</t>
        </is>
      </c>
      <c r="D6" t="n">
        <v>1</v>
      </c>
      <c r="E6" t="inlineStr">
        <is>
          <t>93043200000000</t>
        </is>
      </c>
      <c r="F6" t="n">
        <v>120</v>
      </c>
      <c r="G6" t="n">
        <v>93.59999999999999</v>
      </c>
      <c r="H6" t="n">
        <v>168</v>
      </c>
      <c r="I6" t="n">
        <v>96</v>
      </c>
      <c r="J6" t="n">
        <v>144</v>
      </c>
      <c r="K6" t="n">
        <v>144</v>
      </c>
      <c r="L6" t="n">
        <v>8e-06</v>
      </c>
      <c r="M6" t="n">
        <v>0.012</v>
      </c>
      <c r="N6" t="n">
        <v>0.3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7.4</v>
      </c>
      <c r="X6" t="n">
        <v>120</v>
      </c>
      <c r="Y6" t="n">
        <v>120</v>
      </c>
      <c r="Z6" t="n">
        <v>0.40392</v>
      </c>
      <c r="AA6" t="n">
        <v>0.04</v>
      </c>
      <c r="AB6" t="inlineStr">
        <is>
          <t>原值保留；补值为算例假设，见字段说明</t>
        </is>
      </c>
      <c r="AC6" t="n">
        <v>168</v>
      </c>
    </row>
    <row r="7" ht="34" customHeight="1">
      <c r="A7" t="inlineStr">
        <is>
          <t>GAS_0006</t>
        </is>
      </c>
      <c r="B7" t="inlineStr">
        <is>
          <t>930632000000000000</t>
        </is>
      </c>
      <c r="C7" t="inlineStr">
        <is>
          <t>苏协燃G310.5机_Jr</t>
        </is>
      </c>
      <c r="D7" t="n">
        <v>1</v>
      </c>
      <c r="E7" t="inlineStr">
        <is>
          <t>93043200000000</t>
        </is>
      </c>
      <c r="F7" t="n">
        <v>120</v>
      </c>
      <c r="G7" t="n">
        <v>93.59999999999999</v>
      </c>
      <c r="H7" t="n">
        <v>168</v>
      </c>
      <c r="I7" t="n">
        <v>96</v>
      </c>
      <c r="J7" t="n">
        <v>144</v>
      </c>
      <c r="K7" t="n">
        <v>144</v>
      </c>
      <c r="L7" t="n">
        <v>8e-06</v>
      </c>
      <c r="M7" t="n">
        <v>0.012</v>
      </c>
      <c r="N7" t="n">
        <v>0.3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7.4</v>
      </c>
      <c r="X7" t="n">
        <v>120</v>
      </c>
      <c r="Y7" t="n">
        <v>120</v>
      </c>
      <c r="Z7" t="n">
        <v>0.40392</v>
      </c>
      <c r="AA7" t="n">
        <v>0.04</v>
      </c>
      <c r="AB7" t="inlineStr">
        <is>
          <t>原值保留；补值为算例假设，见字段说明</t>
        </is>
      </c>
      <c r="AC7" t="n">
        <v>168</v>
      </c>
    </row>
    <row r="8" ht="34" customHeight="1">
      <c r="A8" t="inlineStr">
        <is>
          <t>GAS_0007</t>
        </is>
      </c>
      <c r="B8" t="inlineStr">
        <is>
          <t>930632000000000000</t>
        </is>
      </c>
      <c r="C8" t="inlineStr">
        <is>
          <t>苏陵燃_315.7机_Jr</t>
        </is>
      </c>
      <c r="D8" t="n">
        <v>1</v>
      </c>
      <c r="E8" t="inlineStr">
        <is>
          <t>93043200000000</t>
        </is>
      </c>
      <c r="F8" t="n">
        <v>180</v>
      </c>
      <c r="G8" t="n">
        <v>140.4</v>
      </c>
      <c r="H8" t="n">
        <v>168</v>
      </c>
      <c r="I8" t="n">
        <v>96</v>
      </c>
      <c r="J8" t="n">
        <v>216</v>
      </c>
      <c r="K8" t="n">
        <v>216</v>
      </c>
      <c r="L8" t="n">
        <v>8e-06</v>
      </c>
      <c r="M8" t="n">
        <v>0.012</v>
      </c>
      <c r="N8" t="n">
        <v>0.3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7.4</v>
      </c>
      <c r="X8" t="n">
        <v>180</v>
      </c>
      <c r="Y8" t="n">
        <v>180</v>
      </c>
      <c r="Z8" t="n">
        <v>0.40392</v>
      </c>
      <c r="AA8" t="n">
        <v>0.04</v>
      </c>
      <c r="AB8" t="inlineStr">
        <is>
          <t>原值保留；补值为算例假设，见字段说明</t>
        </is>
      </c>
      <c r="AC8" t="n">
        <v>168</v>
      </c>
    </row>
    <row r="9" ht="34" customHeight="1">
      <c r="A9" t="inlineStr">
        <is>
          <t>GAS_0008</t>
        </is>
      </c>
      <c r="B9" t="inlineStr">
        <is>
          <t>930632000000000000</t>
        </is>
      </c>
      <c r="C9" t="inlineStr">
        <is>
          <t>苏溧燃G410.5机_Jr</t>
        </is>
      </c>
      <c r="D9" t="n">
        <v>1</v>
      </c>
      <c r="E9" t="inlineStr">
        <is>
          <t>93043200000000</t>
        </is>
      </c>
      <c r="F9" t="n">
        <v>120</v>
      </c>
      <c r="G9" t="n">
        <v>93.59999999999999</v>
      </c>
      <c r="H9" t="n">
        <v>168</v>
      </c>
      <c r="I9" t="n">
        <v>96</v>
      </c>
      <c r="J9" t="n">
        <v>144</v>
      </c>
      <c r="K9" t="n">
        <v>144</v>
      </c>
      <c r="L9" t="n">
        <v>8e-06</v>
      </c>
      <c r="M9" t="n">
        <v>0.012</v>
      </c>
      <c r="N9" t="n">
        <v>0.3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7.4</v>
      </c>
      <c r="X9" t="n">
        <v>120</v>
      </c>
      <c r="Y9" t="n">
        <v>120</v>
      </c>
      <c r="Z9" t="n">
        <v>0.40392</v>
      </c>
      <c r="AA9" t="n">
        <v>0.04</v>
      </c>
      <c r="AB9" t="inlineStr">
        <is>
          <t>原值保留；补值为算例假设，见字段说明</t>
        </is>
      </c>
      <c r="AC9" t="n">
        <v>168</v>
      </c>
    </row>
    <row r="10" ht="34" customHeight="1">
      <c r="A10" t="inlineStr">
        <is>
          <t>GAS_0009</t>
        </is>
      </c>
      <c r="B10" t="inlineStr">
        <is>
          <t>930632000000000000</t>
        </is>
      </c>
      <c r="C10" t="inlineStr">
        <is>
          <t>苏溧燃G310.5机_Jr</t>
        </is>
      </c>
      <c r="D10" t="n">
        <v>1</v>
      </c>
      <c r="E10" t="inlineStr">
        <is>
          <t>93043200000000</t>
        </is>
      </c>
      <c r="F10" t="n">
        <v>120</v>
      </c>
      <c r="G10" t="n">
        <v>93.59999999999999</v>
      </c>
      <c r="H10" t="n">
        <v>168</v>
      </c>
      <c r="I10" t="n">
        <v>96</v>
      </c>
      <c r="J10" t="n">
        <v>144</v>
      </c>
      <c r="K10" t="n">
        <v>144</v>
      </c>
      <c r="L10" t="n">
        <v>8e-06</v>
      </c>
      <c r="M10" t="n">
        <v>0.012</v>
      </c>
      <c r="N10" t="n">
        <v>0.3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7.4</v>
      </c>
      <c r="X10" t="n">
        <v>120</v>
      </c>
      <c r="Y10" t="n">
        <v>120</v>
      </c>
      <c r="Z10" t="n">
        <v>0.40392</v>
      </c>
      <c r="AA10" t="n">
        <v>0.04</v>
      </c>
      <c r="AB10" t="inlineStr">
        <is>
          <t>原值保留；补值为算例假设，见字段说明</t>
        </is>
      </c>
      <c r="AC10" t="n">
        <v>168</v>
      </c>
    </row>
    <row r="11" ht="34" customHeight="1">
      <c r="A11" t="inlineStr">
        <is>
          <t>GAS_0010</t>
        </is>
      </c>
      <c r="B11" t="inlineStr">
        <is>
          <t>930632000000000000</t>
        </is>
      </c>
      <c r="C11" t="inlineStr">
        <is>
          <t>苏唐燃G120.0机_Jr</t>
        </is>
      </c>
      <c r="D11" t="n">
        <v>1</v>
      </c>
      <c r="E11" t="inlineStr">
        <is>
          <t>93043200000000</t>
        </is>
      </c>
      <c r="F11" t="n">
        <v>655</v>
      </c>
      <c r="G11" t="n">
        <v>491.25</v>
      </c>
      <c r="H11" t="n">
        <v>8</v>
      </c>
      <c r="I11" t="n">
        <v>8</v>
      </c>
      <c r="J11" t="n">
        <v>786</v>
      </c>
      <c r="K11" t="n">
        <v>786</v>
      </c>
      <c r="L11" t="n">
        <v>3e-06</v>
      </c>
      <c r="M11" t="n">
        <v>0.008</v>
      </c>
      <c r="N11" t="n">
        <v>0.8</v>
      </c>
      <c r="O11" t="n">
        <v>30</v>
      </c>
      <c r="P11" t="n">
        <v>30</v>
      </c>
      <c r="Q11" t="n">
        <v>-655</v>
      </c>
      <c r="R11" t="n">
        <v>655</v>
      </c>
      <c r="S11" t="n">
        <v>0</v>
      </c>
      <c r="T11" t="n">
        <v>0</v>
      </c>
      <c r="U11" t="n">
        <v>0</v>
      </c>
      <c r="V11" t="n">
        <v>0</v>
      </c>
      <c r="W11" t="n">
        <v>7.4</v>
      </c>
      <c r="X11" t="n">
        <v>655</v>
      </c>
      <c r="Y11" t="n">
        <v>655</v>
      </c>
      <c r="Z11" t="n">
        <v>0.40392</v>
      </c>
      <c r="AA11" t="n">
        <v>0.04</v>
      </c>
      <c r="AB11" t="inlineStr">
        <is>
          <t>原值保留；补值为算例假设，见字段说明</t>
        </is>
      </c>
      <c r="AC11" t="n">
        <v>8</v>
      </c>
    </row>
    <row r="12" ht="34" customHeight="1">
      <c r="A12" t="inlineStr">
        <is>
          <t>GAS_0011</t>
        </is>
      </c>
      <c r="B12" t="inlineStr">
        <is>
          <t>930632000000000000</t>
        </is>
      </c>
      <c r="C12" t="inlineStr">
        <is>
          <t>苏唐燃G220.0机_Jr</t>
        </is>
      </c>
      <c r="D12" t="n">
        <v>1</v>
      </c>
      <c r="E12" t="inlineStr">
        <is>
          <t>93043200000000</t>
        </is>
      </c>
      <c r="F12" t="n">
        <v>655</v>
      </c>
      <c r="G12" t="n">
        <v>491.25</v>
      </c>
      <c r="H12" t="n">
        <v>8</v>
      </c>
      <c r="I12" t="n">
        <v>8</v>
      </c>
      <c r="J12" t="n">
        <v>786</v>
      </c>
      <c r="K12" t="n">
        <v>786</v>
      </c>
      <c r="L12" t="n">
        <v>3e-06</v>
      </c>
      <c r="M12" t="n">
        <v>0.008</v>
      </c>
      <c r="N12" t="n">
        <v>0.8</v>
      </c>
      <c r="O12" t="n">
        <v>30</v>
      </c>
      <c r="P12" t="n">
        <v>30</v>
      </c>
      <c r="Q12" t="n">
        <v>-655</v>
      </c>
      <c r="R12" t="n">
        <v>655</v>
      </c>
      <c r="S12" t="n">
        <v>0</v>
      </c>
      <c r="T12" t="n">
        <v>0</v>
      </c>
      <c r="U12" t="n">
        <v>0</v>
      </c>
      <c r="V12" t="n">
        <v>0</v>
      </c>
      <c r="W12" t="n">
        <v>7.4</v>
      </c>
      <c r="X12" t="n">
        <v>655</v>
      </c>
      <c r="Y12" t="n">
        <v>655</v>
      </c>
      <c r="Z12" t="n">
        <v>0.40392</v>
      </c>
      <c r="AA12" t="n">
        <v>0.04</v>
      </c>
      <c r="AB12" t="inlineStr">
        <is>
          <t>原值保留；补值为算例假设，见字段说明</t>
        </is>
      </c>
      <c r="AC12" t="n">
        <v>8</v>
      </c>
    </row>
    <row r="13" ht="34" customHeight="1">
      <c r="A13" t="inlineStr">
        <is>
          <t>GAS_0012</t>
        </is>
      </c>
      <c r="B13" t="inlineStr">
        <is>
          <t>930632000000000000</t>
        </is>
      </c>
      <c r="C13" t="inlineStr">
        <is>
          <t>苏陵燃_127.0机_Jr</t>
        </is>
      </c>
      <c r="D13" t="n">
        <v>1</v>
      </c>
      <c r="E13" t="inlineStr">
        <is>
          <t>93043200000000</t>
        </is>
      </c>
      <c r="F13" t="n">
        <v>390</v>
      </c>
      <c r="G13" t="n">
        <v>292.5</v>
      </c>
      <c r="H13" t="n">
        <v>8</v>
      </c>
      <c r="I13" t="n">
        <v>8</v>
      </c>
      <c r="J13" t="n">
        <v>468</v>
      </c>
      <c r="K13" t="n">
        <v>468</v>
      </c>
      <c r="L13" t="n">
        <v>5e-06</v>
      </c>
      <c r="M13" t="n">
        <v>0.01</v>
      </c>
      <c r="N13" t="n">
        <v>0.5</v>
      </c>
      <c r="O13" t="n">
        <v>8</v>
      </c>
      <c r="P13" t="n">
        <v>8</v>
      </c>
      <c r="Q13" t="n">
        <v>-390</v>
      </c>
      <c r="R13" t="n">
        <v>390</v>
      </c>
      <c r="S13" t="n">
        <v>0</v>
      </c>
      <c r="T13" t="n">
        <v>0</v>
      </c>
      <c r="U13" t="n">
        <v>0</v>
      </c>
      <c r="V13" t="n">
        <v>0</v>
      </c>
      <c r="W13" t="n">
        <v>7.4</v>
      </c>
      <c r="X13" t="n">
        <v>390</v>
      </c>
      <c r="Y13" t="n">
        <v>390</v>
      </c>
      <c r="Z13" t="n">
        <v>0.40392</v>
      </c>
      <c r="AA13" t="n">
        <v>0.04</v>
      </c>
      <c r="AB13" t="inlineStr">
        <is>
          <t>原值保留；补值为算例假设，见字段说明</t>
        </is>
      </c>
      <c r="AC13" t="n">
        <v>8</v>
      </c>
    </row>
    <row r="14" ht="34" customHeight="1">
      <c r="A14" t="inlineStr">
        <is>
          <t>GAS_0013</t>
        </is>
      </c>
      <c r="B14" t="inlineStr">
        <is>
          <t>930632000000000000</t>
        </is>
      </c>
      <c r="C14" t="inlineStr">
        <is>
          <t>苏陵燃_227.0机_Jr</t>
        </is>
      </c>
      <c r="D14" t="n">
        <v>1</v>
      </c>
      <c r="E14" t="inlineStr">
        <is>
          <t>93043200000000</t>
        </is>
      </c>
      <c r="F14" t="n">
        <v>390</v>
      </c>
      <c r="G14" t="n">
        <v>292.5</v>
      </c>
      <c r="H14" t="n">
        <v>8</v>
      </c>
      <c r="I14" t="n">
        <v>8</v>
      </c>
      <c r="J14" t="n">
        <v>468</v>
      </c>
      <c r="K14" t="n">
        <v>468</v>
      </c>
      <c r="L14" t="n">
        <v>5e-06</v>
      </c>
      <c r="M14" t="n">
        <v>0.01</v>
      </c>
      <c r="N14" t="n">
        <v>0.5</v>
      </c>
      <c r="O14" t="n">
        <v>8</v>
      </c>
      <c r="P14" t="n">
        <v>8</v>
      </c>
      <c r="Q14" t="n">
        <v>-390</v>
      </c>
      <c r="R14" t="n">
        <v>390</v>
      </c>
      <c r="S14" t="n">
        <v>0</v>
      </c>
      <c r="T14" t="n">
        <v>0</v>
      </c>
      <c r="U14" t="n">
        <v>0</v>
      </c>
      <c r="V14" t="n">
        <v>0</v>
      </c>
      <c r="W14" t="n">
        <v>7.4</v>
      </c>
      <c r="X14" t="n">
        <v>390</v>
      </c>
      <c r="Y14" t="n">
        <v>390</v>
      </c>
      <c r="Z14" t="n">
        <v>0.40392</v>
      </c>
      <c r="AA14" t="n">
        <v>0.04</v>
      </c>
      <c r="AB14" t="inlineStr">
        <is>
          <t>原值保留；补值为算例假设，见字段说明</t>
        </is>
      </c>
      <c r="AC14" t="n">
        <v>8</v>
      </c>
    </row>
    <row r="15" ht="34" customHeight="1">
      <c r="A15" t="inlineStr">
        <is>
          <t>GAS_0014</t>
        </is>
      </c>
      <c r="B15" t="inlineStr">
        <is>
          <t>930632000000000000</t>
        </is>
      </c>
      <c r="C15" t="inlineStr">
        <is>
          <t>苏镇燃_219.0机_Jr</t>
        </is>
      </c>
      <c r="D15" t="n">
        <v>1</v>
      </c>
      <c r="E15" t="inlineStr">
        <is>
          <t>93043200000000</t>
        </is>
      </c>
      <c r="F15" t="n">
        <v>460</v>
      </c>
      <c r="G15" t="n">
        <v>358.8</v>
      </c>
      <c r="H15" t="n">
        <v>168</v>
      </c>
      <c r="I15" t="n">
        <v>96</v>
      </c>
      <c r="J15" t="n">
        <v>552</v>
      </c>
      <c r="K15" t="n">
        <v>552</v>
      </c>
      <c r="L15" t="n">
        <v>5e-06</v>
      </c>
      <c r="M15" t="n">
        <v>0.01</v>
      </c>
      <c r="N15" t="n">
        <v>0.5</v>
      </c>
      <c r="O15" t="n">
        <v>8</v>
      </c>
      <c r="P15" t="n">
        <v>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7.4</v>
      </c>
      <c r="X15" t="n">
        <v>460</v>
      </c>
      <c r="Y15" t="n">
        <v>460</v>
      </c>
      <c r="Z15" t="n">
        <v>0.40392</v>
      </c>
      <c r="AA15" t="n">
        <v>0.04</v>
      </c>
      <c r="AB15" t="inlineStr">
        <is>
          <t>原值保留；补值为算例假设，见字段说明</t>
        </is>
      </c>
      <c r="AC15" t="n">
        <v>168</v>
      </c>
    </row>
    <row r="16" ht="34" customHeight="1">
      <c r="A16" t="inlineStr">
        <is>
          <t>GAS_0015</t>
        </is>
      </c>
      <c r="B16" t="inlineStr">
        <is>
          <t>930632000000000000</t>
        </is>
      </c>
      <c r="C16" t="inlineStr">
        <is>
          <t>苏镇燃_119.0机_Jr</t>
        </is>
      </c>
      <c r="D16" t="n">
        <v>1</v>
      </c>
      <c r="E16" t="inlineStr">
        <is>
          <t>93043200000000</t>
        </is>
      </c>
      <c r="F16" t="n">
        <v>460</v>
      </c>
      <c r="G16" t="n">
        <v>358.8</v>
      </c>
      <c r="H16" t="n">
        <v>168</v>
      </c>
      <c r="I16" t="n">
        <v>96</v>
      </c>
      <c r="J16" t="n">
        <v>552</v>
      </c>
      <c r="K16" t="n">
        <v>552</v>
      </c>
      <c r="L16" t="n">
        <v>5e-06</v>
      </c>
      <c r="M16" t="n">
        <v>0.01</v>
      </c>
      <c r="N16" t="n">
        <v>0.5</v>
      </c>
      <c r="O16" t="n">
        <v>8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7.4</v>
      </c>
      <c r="X16" t="n">
        <v>460</v>
      </c>
      <c r="Y16" t="n">
        <v>460</v>
      </c>
      <c r="Z16" t="n">
        <v>0.40392</v>
      </c>
      <c r="AA16" t="n">
        <v>0.04</v>
      </c>
      <c r="AB16" t="inlineStr">
        <is>
          <t>原值保留；补值为算例假设，见字段说明</t>
        </is>
      </c>
      <c r="AC16" t="n">
        <v>168</v>
      </c>
    </row>
    <row r="17" ht="34" customHeight="1">
      <c r="A17" t="inlineStr">
        <is>
          <t>GAS_0016</t>
        </is>
      </c>
      <c r="B17" t="inlineStr">
        <is>
          <t>930632000000000000</t>
        </is>
      </c>
      <c r="C17" t="inlineStr">
        <is>
          <t>苏丹燃G213.8机_Jr</t>
        </is>
      </c>
      <c r="D17" t="n">
        <v>1</v>
      </c>
      <c r="E17" t="inlineStr">
        <is>
          <t>93043200000000</t>
        </is>
      </c>
      <c r="F17" t="n">
        <v>120</v>
      </c>
      <c r="G17" t="n">
        <v>93.59999999999999</v>
      </c>
      <c r="H17" t="n">
        <v>168</v>
      </c>
      <c r="I17" t="n">
        <v>96</v>
      </c>
      <c r="J17" t="n">
        <v>144</v>
      </c>
      <c r="K17" t="n">
        <v>144</v>
      </c>
      <c r="L17" t="n">
        <v>8e-06</v>
      </c>
      <c r="M17" t="n">
        <v>0.012</v>
      </c>
      <c r="N17" t="n">
        <v>0.3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7.4</v>
      </c>
      <c r="X17" t="n">
        <v>120</v>
      </c>
      <c r="Y17" t="n">
        <v>120</v>
      </c>
      <c r="Z17" t="n">
        <v>0.40392</v>
      </c>
      <c r="AA17" t="n">
        <v>0.04</v>
      </c>
      <c r="AB17" t="inlineStr">
        <is>
          <t>原值保留；补值为算例假设，见字段说明</t>
        </is>
      </c>
      <c r="AC17" t="n">
        <v>168</v>
      </c>
    </row>
    <row r="18" ht="34" customHeight="1">
      <c r="A18" t="inlineStr">
        <is>
          <t>GAS_0017</t>
        </is>
      </c>
      <c r="B18" t="inlineStr">
        <is>
          <t>930632000000000000</t>
        </is>
      </c>
      <c r="C18" t="inlineStr">
        <is>
          <t>苏丹燃G113.8机_Jr</t>
        </is>
      </c>
      <c r="D18" t="n">
        <v>1</v>
      </c>
      <c r="E18" t="inlineStr">
        <is>
          <t>93043200000000</t>
        </is>
      </c>
      <c r="F18" t="n">
        <v>120</v>
      </c>
      <c r="G18" t="n">
        <v>93.59999999999999</v>
      </c>
      <c r="H18" t="n">
        <v>168</v>
      </c>
      <c r="I18" t="n">
        <v>96</v>
      </c>
      <c r="J18" t="n">
        <v>144</v>
      </c>
      <c r="K18" t="n">
        <v>144</v>
      </c>
      <c r="L18" t="n">
        <v>8e-06</v>
      </c>
      <c r="M18" t="n">
        <v>0.012</v>
      </c>
      <c r="N18" t="n">
        <v>0.3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7.4</v>
      </c>
      <c r="X18" t="n">
        <v>120</v>
      </c>
      <c r="Y18" t="n">
        <v>120</v>
      </c>
      <c r="Z18" t="n">
        <v>0.40392</v>
      </c>
      <c r="AA18" t="n">
        <v>0.04</v>
      </c>
      <c r="AB18" t="inlineStr">
        <is>
          <t>原值保留；补值为算例假设，见字段说明</t>
        </is>
      </c>
      <c r="AC18" t="n">
        <v>168</v>
      </c>
    </row>
    <row r="19" ht="34" customHeight="1">
      <c r="A19" t="inlineStr">
        <is>
          <t>GAS_0018</t>
        </is>
      </c>
      <c r="B19" t="inlineStr">
        <is>
          <t>930632000000000000</t>
        </is>
      </c>
      <c r="C19" t="inlineStr">
        <is>
          <t>苏戚燃_810.5机_Jr</t>
        </is>
      </c>
      <c r="D19" t="n">
        <v>1</v>
      </c>
      <c r="E19" t="inlineStr">
        <is>
          <t>93043200000000</t>
        </is>
      </c>
      <c r="F19" t="n">
        <v>60</v>
      </c>
      <c r="G19" t="n">
        <v>46.8</v>
      </c>
      <c r="H19" t="n">
        <v>168</v>
      </c>
      <c r="I19" t="n">
        <v>96</v>
      </c>
      <c r="J19" t="n">
        <v>72</v>
      </c>
      <c r="K19" t="n">
        <v>72</v>
      </c>
      <c r="L19" t="n">
        <v>8e-06</v>
      </c>
      <c r="M19" t="n">
        <v>0.012</v>
      </c>
      <c r="N19" t="n">
        <v>0.3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7.4</v>
      </c>
      <c r="X19" t="n">
        <v>60</v>
      </c>
      <c r="Y19" t="n">
        <v>60</v>
      </c>
      <c r="Z19" t="n">
        <v>0.40392</v>
      </c>
      <c r="AA19" t="n">
        <v>0.04</v>
      </c>
      <c r="AB19" t="inlineStr">
        <is>
          <t>原值保留；补值为算例假设，见字段说明</t>
        </is>
      </c>
      <c r="AC19" t="n">
        <v>168</v>
      </c>
    </row>
    <row r="20" ht="34" customHeight="1">
      <c r="A20" t="inlineStr">
        <is>
          <t>GAS_0019</t>
        </is>
      </c>
      <c r="B20" t="inlineStr">
        <is>
          <t>930632000000000000</t>
        </is>
      </c>
      <c r="C20" t="inlineStr">
        <is>
          <t>苏戚燃_715.0机_Jr</t>
        </is>
      </c>
      <c r="D20" t="n">
        <v>1</v>
      </c>
      <c r="E20" t="inlineStr">
        <is>
          <t>93043200000000</t>
        </is>
      </c>
      <c r="F20" t="n">
        <v>140</v>
      </c>
      <c r="G20" t="n">
        <v>109.2</v>
      </c>
      <c r="H20" t="n">
        <v>168</v>
      </c>
      <c r="I20" t="n">
        <v>96</v>
      </c>
      <c r="J20" t="n">
        <v>168</v>
      </c>
      <c r="K20" t="n">
        <v>168</v>
      </c>
      <c r="L20" t="n">
        <v>8e-06</v>
      </c>
      <c r="M20" t="n">
        <v>0.012</v>
      </c>
      <c r="N20" t="n">
        <v>0.3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7.4</v>
      </c>
      <c r="X20" t="n">
        <v>140</v>
      </c>
      <c r="Y20" t="n">
        <v>140</v>
      </c>
      <c r="Z20" t="n">
        <v>0.40392</v>
      </c>
      <c r="AA20" t="n">
        <v>0.04</v>
      </c>
      <c r="AB20" t="inlineStr">
        <is>
          <t>原值保留；补值为算例假设，见字段说明</t>
        </is>
      </c>
      <c r="AC20" t="n">
        <v>168</v>
      </c>
    </row>
    <row r="21" ht="34" customHeight="1">
      <c r="A21" t="inlineStr">
        <is>
          <t>GAS_0020</t>
        </is>
      </c>
      <c r="B21" t="inlineStr">
        <is>
          <t>930632000000000000</t>
        </is>
      </c>
      <c r="C21" t="inlineStr">
        <is>
          <t>苏戚燃_610.5机_Jr</t>
        </is>
      </c>
      <c r="D21" t="n">
        <v>1</v>
      </c>
      <c r="E21" t="inlineStr">
        <is>
          <t>93043200000000</t>
        </is>
      </c>
      <c r="F21" t="n">
        <v>60</v>
      </c>
      <c r="G21" t="n">
        <v>46.8</v>
      </c>
      <c r="H21" t="n">
        <v>168</v>
      </c>
      <c r="I21" t="n">
        <v>96</v>
      </c>
      <c r="J21" t="n">
        <v>72</v>
      </c>
      <c r="K21" t="n">
        <v>72</v>
      </c>
      <c r="L21" t="n">
        <v>8e-06</v>
      </c>
      <c r="M21" t="n">
        <v>0.012</v>
      </c>
      <c r="N21" t="n">
        <v>0.3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7.4</v>
      </c>
      <c r="X21" t="n">
        <v>60</v>
      </c>
      <c r="Y21" t="n">
        <v>60</v>
      </c>
      <c r="Z21" t="n">
        <v>0.40392</v>
      </c>
      <c r="AA21" t="n">
        <v>0.04</v>
      </c>
      <c r="AB21" t="inlineStr">
        <is>
          <t>原值保留；补值为算例假设，见字段说明</t>
        </is>
      </c>
      <c r="AC21" t="n">
        <v>168</v>
      </c>
    </row>
    <row r="22" ht="34" customHeight="1">
      <c r="A22" t="inlineStr">
        <is>
          <t>GAS_0021</t>
        </is>
      </c>
      <c r="B22" t="inlineStr">
        <is>
          <t>930632000000000000</t>
        </is>
      </c>
      <c r="C22" t="inlineStr">
        <is>
          <t>苏戚燃_515.0机_Jr</t>
        </is>
      </c>
      <c r="D22" t="n">
        <v>1</v>
      </c>
      <c r="E22" t="inlineStr">
        <is>
          <t>93043200000000</t>
        </is>
      </c>
      <c r="F22" t="n">
        <v>140</v>
      </c>
      <c r="G22" t="n">
        <v>109.2</v>
      </c>
      <c r="H22" t="n">
        <v>168</v>
      </c>
      <c r="I22" t="n">
        <v>96</v>
      </c>
      <c r="J22" t="n">
        <v>168</v>
      </c>
      <c r="K22" t="n">
        <v>168</v>
      </c>
      <c r="L22" t="n">
        <v>8e-06</v>
      </c>
      <c r="M22" t="n">
        <v>0.012</v>
      </c>
      <c r="N22" t="n">
        <v>0.3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7.4</v>
      </c>
      <c r="X22" t="n">
        <v>140</v>
      </c>
      <c r="Y22" t="n">
        <v>140</v>
      </c>
      <c r="Z22" t="n">
        <v>0.40392</v>
      </c>
      <c r="AA22" t="n">
        <v>0.04</v>
      </c>
      <c r="AB22" t="inlineStr">
        <is>
          <t>原值保留；补值为算例假设，见字段说明</t>
        </is>
      </c>
      <c r="AC22" t="n">
        <v>168</v>
      </c>
    </row>
    <row r="23" ht="34" customHeight="1">
      <c r="A23" t="inlineStr">
        <is>
          <t>GAS_0022</t>
        </is>
      </c>
      <c r="B23" t="inlineStr">
        <is>
          <t>930632000000000000</t>
        </is>
      </c>
      <c r="C23" t="inlineStr">
        <is>
          <t>苏金燃_218.0机_Jr</t>
        </is>
      </c>
      <c r="D23" t="n">
        <v>1</v>
      </c>
      <c r="E23" t="inlineStr">
        <is>
          <t>93043200000000</t>
        </is>
      </c>
      <c r="F23" t="n">
        <v>436</v>
      </c>
      <c r="G23" t="n">
        <v>340.08</v>
      </c>
      <c r="H23" t="n">
        <v>168</v>
      </c>
      <c r="I23" t="n">
        <v>96</v>
      </c>
      <c r="J23" t="n">
        <v>523.2</v>
      </c>
      <c r="K23" t="n">
        <v>523.2</v>
      </c>
      <c r="L23" t="n">
        <v>5e-06</v>
      </c>
      <c r="M23" t="n">
        <v>0.01</v>
      </c>
      <c r="N23" t="n">
        <v>0.5</v>
      </c>
      <c r="O23" t="n">
        <v>8</v>
      </c>
      <c r="P23" t="n">
        <v>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7.4</v>
      </c>
      <c r="X23" t="n">
        <v>436</v>
      </c>
      <c r="Y23" t="n">
        <v>436</v>
      </c>
      <c r="Z23" t="n">
        <v>0.40392</v>
      </c>
      <c r="AA23" t="n">
        <v>0.04</v>
      </c>
      <c r="AB23" t="inlineStr">
        <is>
          <t>原值保留；补值为算例假设，见字段说明</t>
        </is>
      </c>
      <c r="AC23" t="n">
        <v>168</v>
      </c>
    </row>
    <row r="24" ht="34" customHeight="1">
      <c r="A24" t="inlineStr">
        <is>
          <t>GAS_0023</t>
        </is>
      </c>
      <c r="B24" t="inlineStr">
        <is>
          <t>930632000000000000</t>
        </is>
      </c>
      <c r="C24" t="inlineStr">
        <is>
          <t>苏金燃_118.0机_Jr</t>
        </is>
      </c>
      <c r="D24" t="n">
        <v>1</v>
      </c>
      <c r="E24" t="inlineStr">
        <is>
          <t>93043200000000</t>
        </is>
      </c>
      <c r="F24" t="n">
        <v>436</v>
      </c>
      <c r="G24" t="n">
        <v>340.08</v>
      </c>
      <c r="H24" t="n">
        <v>168</v>
      </c>
      <c r="I24" t="n">
        <v>96</v>
      </c>
      <c r="J24" t="n">
        <v>523.2</v>
      </c>
      <c r="K24" t="n">
        <v>523.2</v>
      </c>
      <c r="L24" t="n">
        <v>5e-06</v>
      </c>
      <c r="M24" t="n">
        <v>0.01</v>
      </c>
      <c r="N24" t="n">
        <v>0.5</v>
      </c>
      <c r="O24" t="n">
        <v>8</v>
      </c>
      <c r="P24" t="n">
        <v>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7.4</v>
      </c>
      <c r="X24" t="n">
        <v>436</v>
      </c>
      <c r="Y24" t="n">
        <v>436</v>
      </c>
      <c r="Z24" t="n">
        <v>0.40392</v>
      </c>
      <c r="AA24" t="n">
        <v>0.04</v>
      </c>
      <c r="AB24" t="inlineStr">
        <is>
          <t>原值保留；补值为算例假设，见字段说明</t>
        </is>
      </c>
      <c r="AC24" t="n">
        <v>168</v>
      </c>
    </row>
    <row r="25" ht="34" customHeight="1">
      <c r="A25" t="inlineStr">
        <is>
          <t>GAS_0024</t>
        </is>
      </c>
      <c r="B25" t="inlineStr">
        <is>
          <t>930632000000000000</t>
        </is>
      </c>
      <c r="C25" t="inlineStr">
        <is>
          <t>苏戚燃Z121.5机_Jr</t>
        </is>
      </c>
      <c r="D25" t="n">
        <v>1</v>
      </c>
      <c r="E25" t="inlineStr">
        <is>
          <t>93043200000000</t>
        </is>
      </c>
      <c r="F25" t="n">
        <v>475</v>
      </c>
      <c r="G25" t="n">
        <v>356.25</v>
      </c>
      <c r="H25" t="n">
        <v>8</v>
      </c>
      <c r="I25" t="n">
        <v>8</v>
      </c>
      <c r="J25" t="n">
        <v>570</v>
      </c>
      <c r="K25" t="n">
        <v>570</v>
      </c>
      <c r="L25" t="n">
        <v>5e-06</v>
      </c>
      <c r="M25" t="n">
        <v>0.01</v>
      </c>
      <c r="N25" t="n">
        <v>0.5</v>
      </c>
      <c r="O25" t="n">
        <v>8</v>
      </c>
      <c r="P25" t="n">
        <v>8</v>
      </c>
      <c r="Q25" t="n">
        <v>-475</v>
      </c>
      <c r="R25" t="n">
        <v>475</v>
      </c>
      <c r="S25" t="n">
        <v>0</v>
      </c>
      <c r="T25" t="n">
        <v>0</v>
      </c>
      <c r="U25" t="n">
        <v>0</v>
      </c>
      <c r="V25" t="n">
        <v>0</v>
      </c>
      <c r="W25" t="n">
        <v>7.4</v>
      </c>
      <c r="X25" t="n">
        <v>475</v>
      </c>
      <c r="Y25" t="n">
        <v>475</v>
      </c>
      <c r="Z25" t="n">
        <v>0.40392</v>
      </c>
      <c r="AA25" t="n">
        <v>0.04</v>
      </c>
      <c r="AB25" t="inlineStr">
        <is>
          <t>原值保留；补值为算例假设，见字段说明</t>
        </is>
      </c>
      <c r="AC25" t="n">
        <v>8</v>
      </c>
    </row>
    <row r="26" ht="34" customHeight="1">
      <c r="A26" t="inlineStr">
        <is>
          <t>GAS_0025</t>
        </is>
      </c>
      <c r="B26" t="inlineStr">
        <is>
          <t>930632000000000000</t>
        </is>
      </c>
      <c r="C26" t="inlineStr">
        <is>
          <t>苏戚燃Z221.5机_Jr</t>
        </is>
      </c>
      <c r="D26" t="n">
        <v>1</v>
      </c>
      <c r="E26" t="inlineStr">
        <is>
          <t>93043200000000</t>
        </is>
      </c>
      <c r="F26" t="n">
        <v>475</v>
      </c>
      <c r="G26" t="n">
        <v>356.25</v>
      </c>
      <c r="H26" t="n">
        <v>8</v>
      </c>
      <c r="I26" t="n">
        <v>8</v>
      </c>
      <c r="J26" t="n">
        <v>570</v>
      </c>
      <c r="K26" t="n">
        <v>570</v>
      </c>
      <c r="L26" t="n">
        <v>5e-06</v>
      </c>
      <c r="M26" t="n">
        <v>0.01</v>
      </c>
      <c r="N26" t="n">
        <v>0.5</v>
      </c>
      <c r="O26" t="n">
        <v>8</v>
      </c>
      <c r="P26" t="n">
        <v>8</v>
      </c>
      <c r="Q26" t="n">
        <v>-475</v>
      </c>
      <c r="R26" t="n">
        <v>475</v>
      </c>
      <c r="S26" t="n">
        <v>0</v>
      </c>
      <c r="T26" t="n">
        <v>0</v>
      </c>
      <c r="U26" t="n">
        <v>0</v>
      </c>
      <c r="V26" t="n">
        <v>0</v>
      </c>
      <c r="W26" t="n">
        <v>7.4</v>
      </c>
      <c r="X26" t="n">
        <v>475</v>
      </c>
      <c r="Y26" t="n">
        <v>475</v>
      </c>
      <c r="Z26" t="n">
        <v>0.40392</v>
      </c>
      <c r="AA26" t="n">
        <v>0.04</v>
      </c>
      <c r="AB26" t="inlineStr">
        <is>
          <t>原值保留；补值为算例假设，见字段说明</t>
        </is>
      </c>
      <c r="AC26" t="n">
        <v>8</v>
      </c>
    </row>
    <row r="27" ht="34" customHeight="1">
      <c r="A27" t="inlineStr">
        <is>
          <t>GAS_0026</t>
        </is>
      </c>
      <c r="B27" t="inlineStr">
        <is>
          <t>930632000000000000</t>
        </is>
      </c>
      <c r="C27" t="inlineStr">
        <is>
          <t>苏戚燃_119.0机_Jr</t>
        </is>
      </c>
      <c r="D27" t="n">
        <v>1</v>
      </c>
      <c r="E27" t="inlineStr">
        <is>
          <t>93043200000000</t>
        </is>
      </c>
      <c r="F27" t="n">
        <v>390</v>
      </c>
      <c r="G27" t="n">
        <v>292.5</v>
      </c>
      <c r="H27" t="n">
        <v>8</v>
      </c>
      <c r="I27" t="n">
        <v>8</v>
      </c>
      <c r="J27" t="n">
        <v>468</v>
      </c>
      <c r="K27" t="n">
        <v>468</v>
      </c>
      <c r="L27" t="n">
        <v>5e-06</v>
      </c>
      <c r="M27" t="n">
        <v>0.01</v>
      </c>
      <c r="N27" t="n">
        <v>0.5</v>
      </c>
      <c r="O27" t="n">
        <v>8</v>
      </c>
      <c r="P27" t="n">
        <v>8</v>
      </c>
      <c r="Q27" t="n">
        <v>-390</v>
      </c>
      <c r="R27" t="n">
        <v>390</v>
      </c>
      <c r="S27" t="n">
        <v>0</v>
      </c>
      <c r="T27" t="n">
        <v>0</v>
      </c>
      <c r="U27" t="n">
        <v>0</v>
      </c>
      <c r="V27" t="n">
        <v>0</v>
      </c>
      <c r="W27" t="n">
        <v>7.4</v>
      </c>
      <c r="X27" t="n">
        <v>390</v>
      </c>
      <c r="Y27" t="n">
        <v>390</v>
      </c>
      <c r="Z27" t="n">
        <v>0.40392</v>
      </c>
      <c r="AA27" t="n">
        <v>0.04</v>
      </c>
      <c r="AB27" t="inlineStr">
        <is>
          <t>原值保留；补值为算例假设，见字段说明</t>
        </is>
      </c>
      <c r="AC27" t="n">
        <v>8</v>
      </c>
    </row>
    <row r="28" ht="34" customHeight="1">
      <c r="A28" t="inlineStr">
        <is>
          <t>GAS_0027</t>
        </is>
      </c>
      <c r="B28" t="inlineStr">
        <is>
          <t>930632000000000000</t>
        </is>
      </c>
      <c r="C28" t="inlineStr">
        <is>
          <t>苏戚燃_219.0机_Jr</t>
        </is>
      </c>
      <c r="D28" t="n">
        <v>1</v>
      </c>
      <c r="E28" t="inlineStr">
        <is>
          <t>93043200000000</t>
        </is>
      </c>
      <c r="F28" t="n">
        <v>390</v>
      </c>
      <c r="G28" t="n">
        <v>292.5</v>
      </c>
      <c r="H28" t="n">
        <v>8</v>
      </c>
      <c r="I28" t="n">
        <v>8</v>
      </c>
      <c r="J28" t="n">
        <v>468</v>
      </c>
      <c r="K28" t="n">
        <v>468</v>
      </c>
      <c r="L28" t="n">
        <v>5e-06</v>
      </c>
      <c r="M28" t="n">
        <v>0.01</v>
      </c>
      <c r="N28" t="n">
        <v>0.5</v>
      </c>
      <c r="O28" t="n">
        <v>8</v>
      </c>
      <c r="P28" t="n">
        <v>8</v>
      </c>
      <c r="Q28" t="n">
        <v>-390</v>
      </c>
      <c r="R28" t="n">
        <v>390</v>
      </c>
      <c r="S28" t="n">
        <v>0</v>
      </c>
      <c r="T28" t="n">
        <v>0</v>
      </c>
      <c r="U28" t="n">
        <v>0</v>
      </c>
      <c r="V28" t="n">
        <v>0</v>
      </c>
      <c r="W28" t="n">
        <v>7.4</v>
      </c>
      <c r="X28" t="n">
        <v>390</v>
      </c>
      <c r="Y28" t="n">
        <v>390</v>
      </c>
      <c r="Z28" t="n">
        <v>0.40392</v>
      </c>
      <c r="AA28" t="n">
        <v>0.04</v>
      </c>
      <c r="AB28" t="inlineStr">
        <is>
          <t>原值保留；补值为算例假设，见字段说明</t>
        </is>
      </c>
      <c r="AC28" t="n">
        <v>8</v>
      </c>
    </row>
    <row r="29" ht="34" customHeight="1">
      <c r="A29" t="inlineStr">
        <is>
          <t>GAS_0028</t>
        </is>
      </c>
      <c r="B29" t="inlineStr">
        <is>
          <t>930632000000000000</t>
        </is>
      </c>
      <c r="C29" t="inlineStr">
        <is>
          <t>苏西燃_224.0机_Jr</t>
        </is>
      </c>
      <c r="D29" t="n">
        <v>2</v>
      </c>
      <c r="E29" t="inlineStr">
        <is>
          <t>93043200000000</t>
        </is>
      </c>
      <c r="F29" t="n">
        <v>420</v>
      </c>
      <c r="G29" t="n">
        <v>327.6</v>
      </c>
      <c r="H29" t="n">
        <v>168</v>
      </c>
      <c r="I29" t="n">
        <v>96</v>
      </c>
      <c r="J29" t="n">
        <v>504</v>
      </c>
      <c r="K29" t="n">
        <v>504</v>
      </c>
      <c r="L29" t="n">
        <v>5e-06</v>
      </c>
      <c r="M29" t="n">
        <v>0.01</v>
      </c>
      <c r="N29" t="n">
        <v>0.5</v>
      </c>
      <c r="O29" t="n">
        <v>8</v>
      </c>
      <c r="P29" t="n">
        <v>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7.4</v>
      </c>
      <c r="X29" t="n">
        <v>420</v>
      </c>
      <c r="Y29" t="n">
        <v>420</v>
      </c>
      <c r="Z29" t="n">
        <v>0.40392</v>
      </c>
      <c r="AA29" t="n">
        <v>0.04</v>
      </c>
      <c r="AB29" t="inlineStr">
        <is>
          <t>原值保留；补值为算例假设，见字段说明</t>
        </is>
      </c>
      <c r="AC29" t="n">
        <v>168</v>
      </c>
    </row>
    <row r="30" ht="34" customHeight="1">
      <c r="A30" t="inlineStr">
        <is>
          <t>GAS_0029</t>
        </is>
      </c>
      <c r="B30" t="inlineStr">
        <is>
          <t>930632000000000000</t>
        </is>
      </c>
      <c r="C30" t="inlineStr">
        <is>
          <t>苏西燃_124.0机_Jr</t>
        </is>
      </c>
      <c r="D30" t="n">
        <v>2</v>
      </c>
      <c r="E30" t="inlineStr">
        <is>
          <t>93043200000000</t>
        </is>
      </c>
      <c r="F30" t="n">
        <v>420</v>
      </c>
      <c r="G30" t="n">
        <v>327.6</v>
      </c>
      <c r="H30" t="n">
        <v>168</v>
      </c>
      <c r="I30" t="n">
        <v>96</v>
      </c>
      <c r="J30" t="n">
        <v>504</v>
      </c>
      <c r="K30" t="n">
        <v>504</v>
      </c>
      <c r="L30" t="n">
        <v>5e-06</v>
      </c>
      <c r="M30" t="n">
        <v>0.01</v>
      </c>
      <c r="N30" t="n">
        <v>0.5</v>
      </c>
      <c r="O30" t="n">
        <v>8</v>
      </c>
      <c r="P30" t="n">
        <v>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7.4</v>
      </c>
      <c r="X30" t="n">
        <v>420</v>
      </c>
      <c r="Y30" t="n">
        <v>420</v>
      </c>
      <c r="Z30" t="n">
        <v>0.40392</v>
      </c>
      <c r="AA30" t="n">
        <v>0.04</v>
      </c>
      <c r="AB30" t="inlineStr">
        <is>
          <t>原值保留；补值为算例假设，见字段说明</t>
        </is>
      </c>
      <c r="AC30" t="n">
        <v>168</v>
      </c>
    </row>
    <row r="31" ht="34" customHeight="1">
      <c r="A31" t="inlineStr">
        <is>
          <t>GAS_0030</t>
        </is>
      </c>
      <c r="B31" t="inlineStr">
        <is>
          <t>930632000000000000</t>
        </is>
      </c>
      <c r="C31" t="inlineStr">
        <is>
          <t>苏蓝燃_410.5机_Jr</t>
        </is>
      </c>
      <c r="D31" t="n">
        <v>2</v>
      </c>
      <c r="E31" t="inlineStr">
        <is>
          <t>93043200000000</t>
        </is>
      </c>
      <c r="F31" t="n">
        <v>45</v>
      </c>
      <c r="G31" t="n">
        <v>35.1</v>
      </c>
      <c r="H31" t="n">
        <v>168</v>
      </c>
      <c r="I31" t="n">
        <v>96</v>
      </c>
      <c r="J31" t="n">
        <v>54</v>
      </c>
      <c r="K31" t="n">
        <v>54</v>
      </c>
      <c r="L31" t="n">
        <v>8e-06</v>
      </c>
      <c r="M31" t="n">
        <v>0.012</v>
      </c>
      <c r="N31" t="n">
        <v>0.3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7.4</v>
      </c>
      <c r="X31" t="n">
        <v>45</v>
      </c>
      <c r="Y31" t="n">
        <v>45</v>
      </c>
      <c r="Z31" t="n">
        <v>0.40392</v>
      </c>
      <c r="AA31" t="n">
        <v>0.04</v>
      </c>
      <c r="AB31" t="inlineStr">
        <is>
          <t>原值保留；补值为算例假设，见字段说明</t>
        </is>
      </c>
      <c r="AC31" t="n">
        <v>168</v>
      </c>
    </row>
    <row r="32" ht="34" customHeight="1">
      <c r="A32" t="inlineStr">
        <is>
          <t>GAS_0031</t>
        </is>
      </c>
      <c r="B32" t="inlineStr">
        <is>
          <t>930632000000000000</t>
        </is>
      </c>
      <c r="C32" t="inlineStr">
        <is>
          <t>苏蓝燃_310.5机_Jr</t>
        </is>
      </c>
      <c r="D32" t="n">
        <v>2</v>
      </c>
      <c r="E32" t="inlineStr">
        <is>
          <t>93043200000000</t>
        </is>
      </c>
      <c r="F32" t="n">
        <v>135</v>
      </c>
      <c r="G32" t="n">
        <v>105.3</v>
      </c>
      <c r="H32" t="n">
        <v>168</v>
      </c>
      <c r="I32" t="n">
        <v>96</v>
      </c>
      <c r="J32" t="n">
        <v>162</v>
      </c>
      <c r="K32" t="n">
        <v>162</v>
      </c>
      <c r="L32" t="n">
        <v>8e-06</v>
      </c>
      <c r="M32" t="n">
        <v>0.012</v>
      </c>
      <c r="N32" t="n">
        <v>0.3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7.4</v>
      </c>
      <c r="X32" t="n">
        <v>135</v>
      </c>
      <c r="Y32" t="n">
        <v>135</v>
      </c>
      <c r="Z32" t="n">
        <v>0.40392</v>
      </c>
      <c r="AA32" t="n">
        <v>0.04</v>
      </c>
      <c r="AB32" t="inlineStr">
        <is>
          <t>原值保留；补值为算例假设，见字段说明</t>
        </is>
      </c>
      <c r="AC32" t="n">
        <v>168</v>
      </c>
    </row>
    <row r="33" ht="34" customHeight="1">
      <c r="A33" t="inlineStr">
        <is>
          <t>GAS_0032</t>
        </is>
      </c>
      <c r="B33" t="inlineStr">
        <is>
          <t>930632000000000000</t>
        </is>
      </c>
      <c r="C33" t="inlineStr">
        <is>
          <t>苏蓝燃_210.5机_Jr</t>
        </is>
      </c>
      <c r="D33" t="n">
        <v>2</v>
      </c>
      <c r="E33" t="inlineStr">
        <is>
          <t>93043200000000</t>
        </is>
      </c>
      <c r="F33" t="n">
        <v>45</v>
      </c>
      <c r="G33" t="n">
        <v>35.1</v>
      </c>
      <c r="H33" t="n">
        <v>168</v>
      </c>
      <c r="I33" t="n">
        <v>96</v>
      </c>
      <c r="J33" t="n">
        <v>54</v>
      </c>
      <c r="K33" t="n">
        <v>54</v>
      </c>
      <c r="L33" t="n">
        <v>8e-06</v>
      </c>
      <c r="M33" t="n">
        <v>0.012</v>
      </c>
      <c r="N33" t="n">
        <v>0.3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7.4</v>
      </c>
      <c r="X33" t="n">
        <v>45</v>
      </c>
      <c r="Y33" t="n">
        <v>45</v>
      </c>
      <c r="Z33" t="n">
        <v>0.40392</v>
      </c>
      <c r="AA33" t="n">
        <v>0.04</v>
      </c>
      <c r="AB33" t="inlineStr">
        <is>
          <t>原值保留；补值为算例假设，见字段说明</t>
        </is>
      </c>
      <c r="AC33" t="n">
        <v>168</v>
      </c>
    </row>
    <row r="34" ht="34" customHeight="1">
      <c r="A34" t="inlineStr">
        <is>
          <t>GAS_0033</t>
        </is>
      </c>
      <c r="B34" t="inlineStr">
        <is>
          <t>930632000000000000</t>
        </is>
      </c>
      <c r="C34" t="inlineStr">
        <is>
          <t>苏蓝燃_110.5机_Jr</t>
        </is>
      </c>
      <c r="D34" t="n">
        <v>2</v>
      </c>
      <c r="E34" t="inlineStr">
        <is>
          <t>93043200000000</t>
        </is>
      </c>
      <c r="F34" t="n">
        <v>135</v>
      </c>
      <c r="G34" t="n">
        <v>105.3</v>
      </c>
      <c r="H34" t="n">
        <v>168</v>
      </c>
      <c r="I34" t="n">
        <v>96</v>
      </c>
      <c r="J34" t="n">
        <v>162</v>
      </c>
      <c r="K34" t="n">
        <v>162</v>
      </c>
      <c r="L34" t="n">
        <v>8e-06</v>
      </c>
      <c r="M34" t="n">
        <v>0.012</v>
      </c>
      <c r="N34" t="n">
        <v>0.3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7.4</v>
      </c>
      <c r="X34" t="n">
        <v>135</v>
      </c>
      <c r="Y34" t="n">
        <v>135</v>
      </c>
      <c r="Z34" t="n">
        <v>0.40392</v>
      </c>
      <c r="AA34" t="n">
        <v>0.04</v>
      </c>
      <c r="AB34" t="inlineStr">
        <is>
          <t>原值保留；补值为算例假设，见字段说明</t>
        </is>
      </c>
      <c r="AC34" t="n">
        <v>168</v>
      </c>
    </row>
    <row r="35" ht="34" customHeight="1">
      <c r="A35" t="inlineStr">
        <is>
          <t>GAS_0034</t>
        </is>
      </c>
      <c r="B35" t="inlineStr">
        <is>
          <t>930632000000000000</t>
        </is>
      </c>
      <c r="C35" t="inlineStr">
        <is>
          <t>苏江阴G213.8机_Jr</t>
        </is>
      </c>
      <c r="D35" t="n">
        <v>2</v>
      </c>
      <c r="E35" t="inlineStr">
        <is>
          <t>93043200000000</t>
        </is>
      </c>
      <c r="F35" t="n">
        <v>108</v>
      </c>
      <c r="G35" t="n">
        <v>84.23999999999999</v>
      </c>
      <c r="H35" t="n">
        <v>168</v>
      </c>
      <c r="I35" t="n">
        <v>96</v>
      </c>
      <c r="J35" t="n">
        <v>129.6</v>
      </c>
      <c r="K35" t="n">
        <v>129.6</v>
      </c>
      <c r="L35" t="n">
        <v>8e-06</v>
      </c>
      <c r="M35" t="n">
        <v>0.012</v>
      </c>
      <c r="N35" t="n">
        <v>0.3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7.4</v>
      </c>
      <c r="X35" t="n">
        <v>108</v>
      </c>
      <c r="Y35" t="n">
        <v>108</v>
      </c>
      <c r="Z35" t="n">
        <v>0.40392</v>
      </c>
      <c r="AA35" t="n">
        <v>0.04</v>
      </c>
      <c r="AB35" t="inlineStr">
        <is>
          <t>原值保留；补值为算例假设，见字段说明</t>
        </is>
      </c>
      <c r="AC35" t="n">
        <v>168</v>
      </c>
    </row>
    <row r="36" ht="34" customHeight="1">
      <c r="A36" t="inlineStr">
        <is>
          <t>GAS_0035</t>
        </is>
      </c>
      <c r="B36" t="inlineStr">
        <is>
          <t>930632000000000000</t>
        </is>
      </c>
      <c r="C36" t="inlineStr">
        <is>
          <t>苏江阴G113.8机_Jr</t>
        </is>
      </c>
      <c r="D36" t="n">
        <v>2</v>
      </c>
      <c r="E36" t="inlineStr">
        <is>
          <t>93043200000000</t>
        </is>
      </c>
      <c r="F36" t="n">
        <v>108</v>
      </c>
      <c r="G36" t="n">
        <v>84.23999999999999</v>
      </c>
      <c r="H36" t="n">
        <v>168</v>
      </c>
      <c r="I36" t="n">
        <v>96</v>
      </c>
      <c r="J36" t="n">
        <v>129.6</v>
      </c>
      <c r="K36" t="n">
        <v>129.6</v>
      </c>
      <c r="L36" t="n">
        <v>8e-06</v>
      </c>
      <c r="M36" t="n">
        <v>0.012</v>
      </c>
      <c r="N36" t="n">
        <v>0.3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7.4</v>
      </c>
      <c r="X36" t="n">
        <v>108</v>
      </c>
      <c r="Y36" t="n">
        <v>108</v>
      </c>
      <c r="Z36" t="n">
        <v>0.40392</v>
      </c>
      <c r="AA36" t="n">
        <v>0.04</v>
      </c>
      <c r="AB36" t="inlineStr">
        <is>
          <t>原值保留；补值为算例假设，见字段说明</t>
        </is>
      </c>
      <c r="AC36" t="n">
        <v>168</v>
      </c>
    </row>
    <row r="37" ht="34" customHeight="1">
      <c r="A37" t="inlineStr">
        <is>
          <t>GAS_0036</t>
        </is>
      </c>
      <c r="B37" t="inlineStr">
        <is>
          <t>930632000000000000</t>
        </is>
      </c>
      <c r="C37" t="inlineStr">
        <is>
          <t>苏江燃_221.5机_Jr</t>
        </is>
      </c>
      <c r="D37" t="n">
        <v>2</v>
      </c>
      <c r="E37" t="inlineStr">
        <is>
          <t>93043200000000</t>
        </is>
      </c>
      <c r="F37" t="n">
        <v>440</v>
      </c>
      <c r="G37" t="n">
        <v>343.2</v>
      </c>
      <c r="H37" t="n">
        <v>168</v>
      </c>
      <c r="I37" t="n">
        <v>96</v>
      </c>
      <c r="J37" t="n">
        <v>528</v>
      </c>
      <c r="K37" t="n">
        <v>528</v>
      </c>
      <c r="L37" t="n">
        <v>5e-06</v>
      </c>
      <c r="M37" t="n">
        <v>0.01</v>
      </c>
      <c r="N37" t="n">
        <v>0.5</v>
      </c>
      <c r="O37" t="n">
        <v>8</v>
      </c>
      <c r="P37" t="n">
        <v>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7.4</v>
      </c>
      <c r="X37" t="n">
        <v>440</v>
      </c>
      <c r="Y37" t="n">
        <v>440</v>
      </c>
      <c r="Z37" t="n">
        <v>0.40392</v>
      </c>
      <c r="AA37" t="n">
        <v>0.04</v>
      </c>
      <c r="AB37" t="inlineStr">
        <is>
          <t>原值保留；补值为算例假设，见字段说明</t>
        </is>
      </c>
      <c r="AC37" t="n">
        <v>168</v>
      </c>
    </row>
    <row r="38" ht="34" customHeight="1">
      <c r="A38" t="inlineStr">
        <is>
          <t>GAS_0037</t>
        </is>
      </c>
      <c r="B38" t="inlineStr">
        <is>
          <t>930632000000000000</t>
        </is>
      </c>
      <c r="C38" t="inlineStr">
        <is>
          <t>苏江燃_124.0机_Jr</t>
        </is>
      </c>
      <c r="D38" t="n">
        <v>2</v>
      </c>
      <c r="E38" t="inlineStr">
        <is>
          <t>93043200000000</t>
        </is>
      </c>
      <c r="F38" t="n">
        <v>440</v>
      </c>
      <c r="G38" t="n">
        <v>343.2</v>
      </c>
      <c r="H38" t="n">
        <v>168</v>
      </c>
      <c r="I38" t="n">
        <v>96</v>
      </c>
      <c r="J38" t="n">
        <v>528</v>
      </c>
      <c r="K38" t="n">
        <v>528</v>
      </c>
      <c r="L38" t="n">
        <v>5e-06</v>
      </c>
      <c r="M38" t="n">
        <v>0.01</v>
      </c>
      <c r="N38" t="n">
        <v>0.5</v>
      </c>
      <c r="O38" t="n">
        <v>8</v>
      </c>
      <c r="P38" t="n">
        <v>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7.4</v>
      </c>
      <c r="X38" t="n">
        <v>440</v>
      </c>
      <c r="Y38" t="n">
        <v>440</v>
      </c>
      <c r="Z38" t="n">
        <v>0.40392</v>
      </c>
      <c r="AA38" t="n">
        <v>0.04</v>
      </c>
      <c r="AB38" t="inlineStr">
        <is>
          <t>原值保留；补值为算例假设，见字段说明</t>
        </is>
      </c>
      <c r="AC38" t="n">
        <v>168</v>
      </c>
    </row>
    <row r="39" ht="34" customHeight="1">
      <c r="A39" t="inlineStr">
        <is>
          <t>GAS_0038</t>
        </is>
      </c>
      <c r="B39" t="inlineStr">
        <is>
          <t>930632000000000000</t>
        </is>
      </c>
      <c r="C39" t="inlineStr">
        <is>
          <t>苏国宜_413.8机_Jr</t>
        </is>
      </c>
      <c r="D39" t="n">
        <v>2</v>
      </c>
      <c r="E39" t="inlineStr">
        <is>
          <t>93043200000000</t>
        </is>
      </c>
      <c r="F39" t="n">
        <v>120</v>
      </c>
      <c r="G39" t="n">
        <v>93.59999999999999</v>
      </c>
      <c r="H39" t="n">
        <v>168</v>
      </c>
      <c r="I39" t="n">
        <v>96</v>
      </c>
      <c r="J39" t="n">
        <v>144</v>
      </c>
      <c r="K39" t="n">
        <v>144</v>
      </c>
      <c r="L39" t="n">
        <v>8e-06</v>
      </c>
      <c r="M39" t="n">
        <v>0.012</v>
      </c>
      <c r="N39" t="n">
        <v>0.3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7.4</v>
      </c>
      <c r="X39" t="n">
        <v>120</v>
      </c>
      <c r="Y39" t="n">
        <v>120</v>
      </c>
      <c r="Z39" t="n">
        <v>0.40392</v>
      </c>
      <c r="AA39" t="n">
        <v>0.04</v>
      </c>
      <c r="AB39" t="inlineStr">
        <is>
          <t>原值保留；补值为算例假设，见字段说明</t>
        </is>
      </c>
      <c r="AC39" t="n">
        <v>168</v>
      </c>
    </row>
    <row r="40" ht="34" customHeight="1">
      <c r="A40" t="inlineStr">
        <is>
          <t>GAS_0039</t>
        </is>
      </c>
      <c r="B40" t="inlineStr">
        <is>
          <t>930632000000000000</t>
        </is>
      </c>
      <c r="C40" t="inlineStr">
        <is>
          <t>苏国宜_320.0机_Jr</t>
        </is>
      </c>
      <c r="D40" t="n">
        <v>2</v>
      </c>
      <c r="E40" t="inlineStr">
        <is>
          <t>93043200000000</t>
        </is>
      </c>
      <c r="F40" t="n">
        <v>300</v>
      </c>
      <c r="G40" t="n">
        <v>234</v>
      </c>
      <c r="H40" t="n">
        <v>168</v>
      </c>
      <c r="I40" t="n">
        <v>96</v>
      </c>
      <c r="J40" t="n">
        <v>360</v>
      </c>
      <c r="K40" t="n">
        <v>360</v>
      </c>
      <c r="L40" t="n">
        <v>5e-06</v>
      </c>
      <c r="M40" t="n">
        <v>0.01</v>
      </c>
      <c r="N40" t="n">
        <v>0.5</v>
      </c>
      <c r="O40" t="n">
        <v>8</v>
      </c>
      <c r="P40" t="n">
        <v>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7.4</v>
      </c>
      <c r="X40" t="n">
        <v>300</v>
      </c>
      <c r="Y40" t="n">
        <v>300</v>
      </c>
      <c r="Z40" t="n">
        <v>0.40392</v>
      </c>
      <c r="AA40" t="n">
        <v>0.04</v>
      </c>
      <c r="AB40" t="inlineStr">
        <is>
          <t>原值保留；补值为算例假设，见字段说明</t>
        </is>
      </c>
      <c r="AC40" t="n">
        <v>168</v>
      </c>
    </row>
    <row r="41" ht="34" customHeight="1">
      <c r="A41" t="inlineStr">
        <is>
          <t>GAS_0040</t>
        </is>
      </c>
      <c r="B41" t="inlineStr">
        <is>
          <t>930632000000000000</t>
        </is>
      </c>
      <c r="C41" t="inlineStr">
        <is>
          <t>苏国宜_213.8机_Jr</t>
        </is>
      </c>
      <c r="D41" t="n">
        <v>2</v>
      </c>
      <c r="E41" t="inlineStr">
        <is>
          <t>93043200000000</t>
        </is>
      </c>
      <c r="F41" t="n">
        <v>120</v>
      </c>
      <c r="G41" t="n">
        <v>93.59999999999999</v>
      </c>
      <c r="H41" t="n">
        <v>168</v>
      </c>
      <c r="I41" t="n">
        <v>96</v>
      </c>
      <c r="J41" t="n">
        <v>144</v>
      </c>
      <c r="K41" t="n">
        <v>144</v>
      </c>
      <c r="L41" t="n">
        <v>8e-06</v>
      </c>
      <c r="M41" t="n">
        <v>0.012</v>
      </c>
      <c r="N41" t="n">
        <v>0.3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7.4</v>
      </c>
      <c r="X41" t="n">
        <v>120</v>
      </c>
      <c r="Y41" t="n">
        <v>120</v>
      </c>
      <c r="Z41" t="n">
        <v>0.40392</v>
      </c>
      <c r="AA41" t="n">
        <v>0.04</v>
      </c>
      <c r="AB41" t="inlineStr">
        <is>
          <t>原值保留；补值为算例假设，见字段说明</t>
        </is>
      </c>
      <c r="AC41" t="n">
        <v>168</v>
      </c>
    </row>
    <row r="42" ht="34" customHeight="1">
      <c r="A42" t="inlineStr">
        <is>
          <t>GAS_0041</t>
        </is>
      </c>
      <c r="B42" t="inlineStr">
        <is>
          <t>930632000000000000</t>
        </is>
      </c>
      <c r="C42" t="inlineStr">
        <is>
          <t>苏国宜_120.0机_Jr</t>
        </is>
      </c>
      <c r="D42" t="n">
        <v>2</v>
      </c>
      <c r="E42" t="inlineStr">
        <is>
          <t>93043200000000</t>
        </is>
      </c>
      <c r="F42" t="n">
        <v>300</v>
      </c>
      <c r="G42" t="n">
        <v>234</v>
      </c>
      <c r="H42" t="n">
        <v>168</v>
      </c>
      <c r="I42" t="n">
        <v>96</v>
      </c>
      <c r="J42" t="n">
        <v>360</v>
      </c>
      <c r="K42" t="n">
        <v>360</v>
      </c>
      <c r="L42" t="n">
        <v>5e-06</v>
      </c>
      <c r="M42" t="n">
        <v>0.01</v>
      </c>
      <c r="N42" t="n">
        <v>0.5</v>
      </c>
      <c r="O42" t="n">
        <v>8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7.4</v>
      </c>
      <c r="X42" t="n">
        <v>300</v>
      </c>
      <c r="Y42" t="n">
        <v>300</v>
      </c>
      <c r="Z42" t="n">
        <v>0.40392</v>
      </c>
      <c r="AA42" t="n">
        <v>0.04</v>
      </c>
      <c r="AB42" t="inlineStr">
        <is>
          <t>原值保留；补值为算例假设，见字段说明</t>
        </is>
      </c>
      <c r="AC42" t="n">
        <v>168</v>
      </c>
    </row>
    <row r="43" ht="34" customHeight="1">
      <c r="A43" t="inlineStr">
        <is>
          <t>GAS_0042</t>
        </is>
      </c>
      <c r="B43" t="inlineStr">
        <is>
          <t>930632000000000000</t>
        </is>
      </c>
      <c r="C43" t="inlineStr">
        <is>
          <t>苏锡燃_124.0机_Jr</t>
        </is>
      </c>
      <c r="D43" t="n">
        <v>2</v>
      </c>
      <c r="E43" t="inlineStr">
        <is>
          <t>93043200000000</t>
        </is>
      </c>
      <c r="F43" t="n">
        <v>466</v>
      </c>
      <c r="G43" t="n">
        <v>349.5</v>
      </c>
      <c r="H43" t="n">
        <v>8</v>
      </c>
      <c r="I43" t="n">
        <v>8</v>
      </c>
      <c r="J43" t="n">
        <v>559.2</v>
      </c>
      <c r="K43" t="n">
        <v>559.2</v>
      </c>
      <c r="L43" t="n">
        <v>5e-06</v>
      </c>
      <c r="M43" t="n">
        <v>0.01</v>
      </c>
      <c r="N43" t="n">
        <v>0.5</v>
      </c>
      <c r="O43" t="n">
        <v>8</v>
      </c>
      <c r="P43" t="n">
        <v>8</v>
      </c>
      <c r="Q43" t="n">
        <v>-466</v>
      </c>
      <c r="R43" t="n">
        <v>466</v>
      </c>
      <c r="S43" t="n">
        <v>0</v>
      </c>
      <c r="T43" t="n">
        <v>0</v>
      </c>
      <c r="U43" t="n">
        <v>0</v>
      </c>
      <c r="V43" t="n">
        <v>0</v>
      </c>
      <c r="W43" t="n">
        <v>7.4</v>
      </c>
      <c r="X43" t="n">
        <v>466</v>
      </c>
      <c r="Y43" t="n">
        <v>466</v>
      </c>
      <c r="Z43" t="n">
        <v>0.40392</v>
      </c>
      <c r="AA43" t="n">
        <v>0.04</v>
      </c>
      <c r="AB43" t="inlineStr">
        <is>
          <t>原值保留；补值为算例假设，见字段说明</t>
        </is>
      </c>
      <c r="AC43" t="n">
        <v>8</v>
      </c>
    </row>
    <row r="44" ht="34" customHeight="1">
      <c r="A44" t="inlineStr">
        <is>
          <t>GAS_0043</t>
        </is>
      </c>
      <c r="B44" t="inlineStr">
        <is>
          <t>930632000000000000</t>
        </is>
      </c>
      <c r="C44" t="inlineStr">
        <is>
          <t>苏锡燃_224.0机_Jr</t>
        </is>
      </c>
      <c r="D44" t="n">
        <v>2</v>
      </c>
      <c r="E44" t="inlineStr">
        <is>
          <t>93043200000000</t>
        </is>
      </c>
      <c r="F44" t="n">
        <v>466</v>
      </c>
      <c r="G44" t="n">
        <v>349.5</v>
      </c>
      <c r="H44" t="n">
        <v>8</v>
      </c>
      <c r="I44" t="n">
        <v>8</v>
      </c>
      <c r="J44" t="n">
        <v>559.2</v>
      </c>
      <c r="K44" t="n">
        <v>559.2</v>
      </c>
      <c r="L44" t="n">
        <v>5e-06</v>
      </c>
      <c r="M44" t="n">
        <v>0.01</v>
      </c>
      <c r="N44" t="n">
        <v>0.5</v>
      </c>
      <c r="O44" t="n">
        <v>8</v>
      </c>
      <c r="P44" t="n">
        <v>8</v>
      </c>
      <c r="Q44" t="n">
        <v>-466</v>
      </c>
      <c r="R44" t="n">
        <v>466</v>
      </c>
      <c r="S44" t="n">
        <v>0</v>
      </c>
      <c r="T44" t="n">
        <v>0</v>
      </c>
      <c r="U44" t="n">
        <v>0</v>
      </c>
      <c r="V44" t="n">
        <v>0</v>
      </c>
      <c r="W44" t="n">
        <v>7.4</v>
      </c>
      <c r="X44" t="n">
        <v>466</v>
      </c>
      <c r="Y44" t="n">
        <v>466</v>
      </c>
      <c r="Z44" t="n">
        <v>0.40392</v>
      </c>
      <c r="AA44" t="n">
        <v>0.04</v>
      </c>
      <c r="AB44" t="inlineStr">
        <is>
          <t>原值保留；补值为算例假设，见字段说明</t>
        </is>
      </c>
      <c r="AC44" t="n">
        <v>8</v>
      </c>
    </row>
    <row r="45" ht="34" customHeight="1">
      <c r="A45" t="inlineStr">
        <is>
          <t>GAS_0044</t>
        </is>
      </c>
      <c r="B45" t="inlineStr">
        <is>
          <t>930632000000000000</t>
        </is>
      </c>
      <c r="C45" t="inlineStr">
        <is>
          <t>苏江二G415.8机_Jr</t>
        </is>
      </c>
      <c r="D45" t="n">
        <v>2</v>
      </c>
      <c r="E45" t="inlineStr">
        <is>
          <t>93043200000000</t>
        </is>
      </c>
      <c r="F45" t="n">
        <v>175</v>
      </c>
      <c r="G45" t="n">
        <v>131.25</v>
      </c>
      <c r="H45" t="n">
        <v>8</v>
      </c>
      <c r="I45" t="n">
        <v>8</v>
      </c>
      <c r="J45" t="n">
        <v>210</v>
      </c>
      <c r="K45" t="n">
        <v>210</v>
      </c>
      <c r="L45" t="n">
        <v>8e-06</v>
      </c>
      <c r="M45" t="n">
        <v>0.012</v>
      </c>
      <c r="N45" t="n">
        <v>0.3</v>
      </c>
      <c r="O45" t="n">
        <v>3</v>
      </c>
      <c r="P45" t="n">
        <v>3</v>
      </c>
      <c r="Q45" t="n">
        <v>-175</v>
      </c>
      <c r="R45" t="n">
        <v>175</v>
      </c>
      <c r="S45" t="n">
        <v>0</v>
      </c>
      <c r="T45" t="n">
        <v>0</v>
      </c>
      <c r="U45" t="n">
        <v>0</v>
      </c>
      <c r="V45" t="n">
        <v>0</v>
      </c>
      <c r="W45" t="n">
        <v>7.4</v>
      </c>
      <c r="X45" t="n">
        <v>175</v>
      </c>
      <c r="Y45" t="n">
        <v>175</v>
      </c>
      <c r="Z45" t="n">
        <v>0.40392</v>
      </c>
      <c r="AA45" t="n">
        <v>0.04</v>
      </c>
      <c r="AB45" t="inlineStr">
        <is>
          <t>原值保留；补值为算例假设，见字段说明</t>
        </is>
      </c>
      <c r="AC45" t="n">
        <v>8</v>
      </c>
    </row>
    <row r="46" ht="34" customHeight="1">
      <c r="A46" t="inlineStr">
        <is>
          <t>GAS_0045</t>
        </is>
      </c>
      <c r="B46" t="inlineStr">
        <is>
          <t>930632000000000000</t>
        </is>
      </c>
      <c r="C46" t="inlineStr">
        <is>
          <t>苏江二G318.0机_Jr</t>
        </is>
      </c>
      <c r="D46" t="n">
        <v>2</v>
      </c>
      <c r="E46" t="inlineStr">
        <is>
          <t>93043200000000</t>
        </is>
      </c>
      <c r="F46" t="n">
        <v>315</v>
      </c>
      <c r="G46" t="n">
        <v>236.25</v>
      </c>
      <c r="H46" t="n">
        <v>8</v>
      </c>
      <c r="I46" t="n">
        <v>8</v>
      </c>
      <c r="J46" t="n">
        <v>378</v>
      </c>
      <c r="K46" t="n">
        <v>378</v>
      </c>
      <c r="L46" t="n">
        <v>5e-06</v>
      </c>
      <c r="M46" t="n">
        <v>0.01</v>
      </c>
      <c r="N46" t="n">
        <v>0.5</v>
      </c>
      <c r="O46" t="n">
        <v>8</v>
      </c>
      <c r="P46" t="n">
        <v>8</v>
      </c>
      <c r="Q46" t="n">
        <v>-315</v>
      </c>
      <c r="R46" t="n">
        <v>315</v>
      </c>
      <c r="S46" t="n">
        <v>0</v>
      </c>
      <c r="T46" t="n">
        <v>0</v>
      </c>
      <c r="U46" t="n">
        <v>0</v>
      </c>
      <c r="V46" t="n">
        <v>0</v>
      </c>
      <c r="W46" t="n">
        <v>7.4</v>
      </c>
      <c r="X46" t="n">
        <v>315</v>
      </c>
      <c r="Y46" t="n">
        <v>315</v>
      </c>
      <c r="Z46" t="n">
        <v>0.40392</v>
      </c>
      <c r="AA46" t="n">
        <v>0.04</v>
      </c>
      <c r="AB46" t="inlineStr">
        <is>
          <t>原值保留；补值为算例假设，见字段说明</t>
        </is>
      </c>
      <c r="AC46" t="n">
        <v>8</v>
      </c>
    </row>
    <row r="47" ht="34" customHeight="1">
      <c r="A47" t="inlineStr">
        <is>
          <t>GAS_0046</t>
        </is>
      </c>
      <c r="B47" t="inlineStr">
        <is>
          <t>930632000000000000</t>
        </is>
      </c>
      <c r="C47" t="inlineStr">
        <is>
          <t>苏江二G215.8机_Jr</t>
        </is>
      </c>
      <c r="D47" t="n">
        <v>2</v>
      </c>
      <c r="E47" t="inlineStr">
        <is>
          <t>93043200000000</t>
        </is>
      </c>
      <c r="F47" t="n">
        <v>175</v>
      </c>
      <c r="G47" t="n">
        <v>131.25</v>
      </c>
      <c r="H47" t="n">
        <v>8</v>
      </c>
      <c r="I47" t="n">
        <v>8</v>
      </c>
      <c r="J47" t="n">
        <v>210</v>
      </c>
      <c r="K47" t="n">
        <v>210</v>
      </c>
      <c r="L47" t="n">
        <v>8e-06</v>
      </c>
      <c r="M47" t="n">
        <v>0.012</v>
      </c>
      <c r="N47" t="n">
        <v>0.3</v>
      </c>
      <c r="O47" t="n">
        <v>3</v>
      </c>
      <c r="P47" t="n">
        <v>3</v>
      </c>
      <c r="Q47" t="n">
        <v>-175</v>
      </c>
      <c r="R47" t="n">
        <v>175</v>
      </c>
      <c r="S47" t="n">
        <v>0</v>
      </c>
      <c r="T47" t="n">
        <v>0</v>
      </c>
      <c r="U47" t="n">
        <v>0</v>
      </c>
      <c r="V47" t="n">
        <v>0</v>
      </c>
      <c r="W47" t="n">
        <v>7.4</v>
      </c>
      <c r="X47" t="n">
        <v>175</v>
      </c>
      <c r="Y47" t="n">
        <v>175</v>
      </c>
      <c r="Z47" t="n">
        <v>0.40392</v>
      </c>
      <c r="AA47" t="n">
        <v>0.04</v>
      </c>
      <c r="AB47" t="inlineStr">
        <is>
          <t>原值保留；补值为算例假设，见字段说明</t>
        </is>
      </c>
      <c r="AC47" t="n">
        <v>8</v>
      </c>
    </row>
    <row r="48" ht="34" customHeight="1">
      <c r="A48" t="inlineStr">
        <is>
          <t>GAS_0047</t>
        </is>
      </c>
      <c r="B48" t="inlineStr">
        <is>
          <t>930632000000000000</t>
        </is>
      </c>
      <c r="C48" t="inlineStr">
        <is>
          <t>苏江二G118.0机_Jr</t>
        </is>
      </c>
      <c r="D48" t="n">
        <v>2</v>
      </c>
      <c r="E48" t="inlineStr">
        <is>
          <t>93043200000000</t>
        </is>
      </c>
      <c r="F48" t="n">
        <v>315</v>
      </c>
      <c r="G48" t="n">
        <v>236.25</v>
      </c>
      <c r="H48" t="n">
        <v>8</v>
      </c>
      <c r="I48" t="n">
        <v>8</v>
      </c>
      <c r="J48" t="n">
        <v>378</v>
      </c>
      <c r="K48" t="n">
        <v>378</v>
      </c>
      <c r="L48" t="n">
        <v>5e-06</v>
      </c>
      <c r="M48" t="n">
        <v>0.01</v>
      </c>
      <c r="N48" t="n">
        <v>0.5</v>
      </c>
      <c r="O48" t="n">
        <v>8</v>
      </c>
      <c r="P48" t="n">
        <v>8</v>
      </c>
      <c r="Q48" t="n">
        <v>-315</v>
      </c>
      <c r="R48" t="n">
        <v>315</v>
      </c>
      <c r="S48" t="n">
        <v>0</v>
      </c>
      <c r="T48" t="n">
        <v>0</v>
      </c>
      <c r="U48" t="n">
        <v>0</v>
      </c>
      <c r="V48" t="n">
        <v>0</v>
      </c>
      <c r="W48" t="n">
        <v>7.4</v>
      </c>
      <c r="X48" t="n">
        <v>315</v>
      </c>
      <c r="Y48" t="n">
        <v>315</v>
      </c>
      <c r="Z48" t="n">
        <v>0.40392</v>
      </c>
      <c r="AA48" t="n">
        <v>0.04</v>
      </c>
      <c r="AB48" t="inlineStr">
        <is>
          <t>原值保留；补值为算例假设，见字段说明</t>
        </is>
      </c>
      <c r="AC48" t="n">
        <v>8</v>
      </c>
    </row>
    <row r="49" ht="34" customHeight="1">
      <c r="A49" t="inlineStr">
        <is>
          <t>GAS_0048</t>
        </is>
      </c>
      <c r="B49" t="inlineStr">
        <is>
          <t>930632000000000000</t>
        </is>
      </c>
      <c r="C49" t="inlineStr">
        <is>
          <t>苏兴扩_219.0机_Jr</t>
        </is>
      </c>
      <c r="D49" t="n">
        <v>2</v>
      </c>
      <c r="E49" t="inlineStr">
        <is>
          <t>93043200000000</t>
        </is>
      </c>
      <c r="F49" t="n">
        <v>440</v>
      </c>
      <c r="G49" t="n">
        <v>343.2</v>
      </c>
      <c r="H49" t="n">
        <v>168</v>
      </c>
      <c r="I49" t="n">
        <v>96</v>
      </c>
      <c r="J49" t="n">
        <v>528</v>
      </c>
      <c r="K49" t="n">
        <v>528</v>
      </c>
      <c r="L49" t="n">
        <v>5e-06</v>
      </c>
      <c r="M49" t="n">
        <v>0.01</v>
      </c>
      <c r="N49" t="n">
        <v>0.5</v>
      </c>
      <c r="O49" t="n">
        <v>8</v>
      </c>
      <c r="P49" t="n">
        <v>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7.4</v>
      </c>
      <c r="X49" t="n">
        <v>440</v>
      </c>
      <c r="Y49" t="n">
        <v>440</v>
      </c>
      <c r="Z49" t="n">
        <v>0.40392</v>
      </c>
      <c r="AA49" t="n">
        <v>0.04</v>
      </c>
      <c r="AB49" t="inlineStr">
        <is>
          <t>原值保留；补值为算例假设，见字段说明</t>
        </is>
      </c>
      <c r="AC49" t="n">
        <v>168</v>
      </c>
    </row>
    <row r="50" ht="34" customHeight="1">
      <c r="A50" t="inlineStr">
        <is>
          <t>GAS_0049</t>
        </is>
      </c>
      <c r="B50" t="inlineStr">
        <is>
          <t>930632000000000000</t>
        </is>
      </c>
      <c r="C50" t="inlineStr">
        <is>
          <t>苏兴扩_119.0机_Jr</t>
        </is>
      </c>
      <c r="D50" t="n">
        <v>2</v>
      </c>
      <c r="E50" t="inlineStr">
        <is>
          <t>93043200000000</t>
        </is>
      </c>
      <c r="F50" t="n">
        <v>440</v>
      </c>
      <c r="G50" t="n">
        <v>343.2</v>
      </c>
      <c r="H50" t="n">
        <v>168</v>
      </c>
      <c r="I50" t="n">
        <v>96</v>
      </c>
      <c r="J50" t="n">
        <v>528</v>
      </c>
      <c r="K50" t="n">
        <v>528</v>
      </c>
      <c r="L50" t="n">
        <v>5e-06</v>
      </c>
      <c r="M50" t="n">
        <v>0.01</v>
      </c>
      <c r="N50" t="n">
        <v>0.5</v>
      </c>
      <c r="O50" t="n">
        <v>8</v>
      </c>
      <c r="P50" t="n">
        <v>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7.4</v>
      </c>
      <c r="X50" t="n">
        <v>440</v>
      </c>
      <c r="Y50" t="n">
        <v>440</v>
      </c>
      <c r="Z50" t="n">
        <v>0.40392</v>
      </c>
      <c r="AA50" t="n">
        <v>0.04</v>
      </c>
      <c r="AB50" t="inlineStr">
        <is>
          <t>原值保留；补值为算例假设，见字段说明</t>
        </is>
      </c>
      <c r="AC50" t="n">
        <v>168</v>
      </c>
    </row>
    <row r="51" ht="34" customHeight="1">
      <c r="A51" t="inlineStr">
        <is>
          <t>GAS_0050</t>
        </is>
      </c>
      <c r="B51" t="inlineStr">
        <is>
          <t>930632000000000000</t>
        </is>
      </c>
      <c r="C51" t="inlineStr">
        <is>
          <t>苏吴中G610.5机_Jr</t>
        </is>
      </c>
      <c r="D51" t="n">
        <v>2</v>
      </c>
      <c r="E51" t="inlineStr">
        <is>
          <t>93043200000000</t>
        </is>
      </c>
      <c r="F51" t="n">
        <v>39.8</v>
      </c>
      <c r="G51" t="n">
        <v>31.044</v>
      </c>
      <c r="H51" t="n">
        <v>168</v>
      </c>
      <c r="I51" t="n">
        <v>96</v>
      </c>
      <c r="J51" t="n">
        <v>47.76</v>
      </c>
      <c r="K51" t="n">
        <v>47.76</v>
      </c>
      <c r="L51" t="n">
        <v>8e-06</v>
      </c>
      <c r="M51" t="n">
        <v>0.012</v>
      </c>
      <c r="N51" t="n">
        <v>0.3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7.4</v>
      </c>
      <c r="X51" t="n">
        <v>39.8</v>
      </c>
      <c r="Y51" t="n">
        <v>39.8</v>
      </c>
      <c r="Z51" t="n">
        <v>0.40392</v>
      </c>
      <c r="AA51" t="n">
        <v>0.04</v>
      </c>
      <c r="AB51" t="inlineStr">
        <is>
          <t>原值保留；补值为算例假设，见字段说明</t>
        </is>
      </c>
      <c r="AC51" t="n">
        <v>168</v>
      </c>
    </row>
    <row r="52" ht="34" customHeight="1">
      <c r="A52" t="inlineStr">
        <is>
          <t>GAS_0051</t>
        </is>
      </c>
      <c r="B52" t="inlineStr">
        <is>
          <t>930632000000000000</t>
        </is>
      </c>
      <c r="C52" t="inlineStr">
        <is>
          <t>苏吴中G510.5机_Jr</t>
        </is>
      </c>
      <c r="D52" t="n">
        <v>2</v>
      </c>
      <c r="E52" t="inlineStr">
        <is>
          <t>93043200000000</t>
        </is>
      </c>
      <c r="F52" t="n">
        <v>13.2</v>
      </c>
      <c r="G52" t="n">
        <v>10.296</v>
      </c>
      <c r="H52" t="n">
        <v>168</v>
      </c>
      <c r="I52" t="n">
        <v>96</v>
      </c>
      <c r="J52" t="n">
        <v>15.84</v>
      </c>
      <c r="K52" t="n">
        <v>15.84</v>
      </c>
      <c r="L52" t="n">
        <v>8e-06</v>
      </c>
      <c r="M52" t="n">
        <v>0.012</v>
      </c>
      <c r="N52" t="n">
        <v>0.3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7.4</v>
      </c>
      <c r="X52" t="n">
        <v>13.2</v>
      </c>
      <c r="Y52" t="n">
        <v>13.2</v>
      </c>
      <c r="Z52" t="n">
        <v>0.40392</v>
      </c>
      <c r="AA52" t="n">
        <v>0.04</v>
      </c>
      <c r="AB52" t="inlineStr">
        <is>
          <t>原值保留；补值为算例假设，见字段说明</t>
        </is>
      </c>
      <c r="AC52" t="n">
        <v>168</v>
      </c>
    </row>
    <row r="53" ht="34" customHeight="1">
      <c r="A53" t="inlineStr">
        <is>
          <t>GAS_0052</t>
        </is>
      </c>
      <c r="B53" t="inlineStr">
        <is>
          <t>930632000000000000</t>
        </is>
      </c>
      <c r="C53" t="inlineStr">
        <is>
          <t>苏吴中G410.5机_Jr</t>
        </is>
      </c>
      <c r="D53" t="n">
        <v>2</v>
      </c>
      <c r="E53" t="inlineStr">
        <is>
          <t>93043200000000</t>
        </is>
      </c>
      <c r="F53" t="n">
        <v>78</v>
      </c>
      <c r="G53" t="n">
        <v>60.84</v>
      </c>
      <c r="H53" t="n">
        <v>168</v>
      </c>
      <c r="I53" t="n">
        <v>96</v>
      </c>
      <c r="J53" t="n">
        <v>93.59999999999999</v>
      </c>
      <c r="K53" t="n">
        <v>93.59999999999999</v>
      </c>
      <c r="L53" t="n">
        <v>8e-06</v>
      </c>
      <c r="M53" t="n">
        <v>0.012</v>
      </c>
      <c r="N53" t="n">
        <v>0.3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7.4</v>
      </c>
      <c r="X53" t="n">
        <v>78</v>
      </c>
      <c r="Y53" t="n">
        <v>78</v>
      </c>
      <c r="Z53" t="n">
        <v>0.40392</v>
      </c>
      <c r="AA53" t="n">
        <v>0.04</v>
      </c>
      <c r="AB53" t="inlineStr">
        <is>
          <t>原值保留；补值为算例假设，见字段说明</t>
        </is>
      </c>
      <c r="AC53" t="n">
        <v>168</v>
      </c>
    </row>
    <row r="54" ht="34" customHeight="1">
      <c r="A54" t="inlineStr">
        <is>
          <t>GAS_0053</t>
        </is>
      </c>
      <c r="B54" t="inlineStr">
        <is>
          <t>930632000000000000</t>
        </is>
      </c>
      <c r="C54" t="inlineStr">
        <is>
          <t>苏吴中G310.5机_Jr</t>
        </is>
      </c>
      <c r="D54" t="n">
        <v>2</v>
      </c>
      <c r="E54" t="inlineStr">
        <is>
          <t>93043200000000</t>
        </is>
      </c>
      <c r="F54" t="n">
        <v>78</v>
      </c>
      <c r="G54" t="n">
        <v>60.84</v>
      </c>
      <c r="H54" t="n">
        <v>168</v>
      </c>
      <c r="I54" t="n">
        <v>96</v>
      </c>
      <c r="J54" t="n">
        <v>93.59999999999999</v>
      </c>
      <c r="K54" t="n">
        <v>93.59999999999999</v>
      </c>
      <c r="L54" t="n">
        <v>8e-06</v>
      </c>
      <c r="M54" t="n">
        <v>0.012</v>
      </c>
      <c r="N54" t="n">
        <v>0.3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7.4</v>
      </c>
      <c r="X54" t="n">
        <v>78</v>
      </c>
      <c r="Y54" t="n">
        <v>78</v>
      </c>
      <c r="Z54" t="n">
        <v>0.40392</v>
      </c>
      <c r="AA54" t="n">
        <v>0.04</v>
      </c>
      <c r="AB54" t="inlineStr">
        <is>
          <t>原值保留；补值为算例假设，见字段说明</t>
        </is>
      </c>
      <c r="AC54" t="n">
        <v>168</v>
      </c>
    </row>
    <row r="55" ht="34" customHeight="1">
      <c r="A55" t="inlineStr">
        <is>
          <t>GAS_0054</t>
        </is>
      </c>
      <c r="B55" t="inlineStr">
        <is>
          <t>930632000000000000</t>
        </is>
      </c>
      <c r="C55" t="inlineStr">
        <is>
          <t>苏吴中G213.8机_Jr</t>
        </is>
      </c>
      <c r="D55" t="n">
        <v>2</v>
      </c>
      <c r="E55" t="inlineStr">
        <is>
          <t>93043200000000</t>
        </is>
      </c>
      <c r="F55" t="n">
        <v>105</v>
      </c>
      <c r="G55" t="n">
        <v>81.90000000000001</v>
      </c>
      <c r="H55" t="n">
        <v>168</v>
      </c>
      <c r="I55" t="n">
        <v>96</v>
      </c>
      <c r="J55" t="n">
        <v>126</v>
      </c>
      <c r="K55" t="n">
        <v>126</v>
      </c>
      <c r="L55" t="n">
        <v>8e-06</v>
      </c>
      <c r="M55" t="n">
        <v>0.012</v>
      </c>
      <c r="N55" t="n">
        <v>0.3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7.4</v>
      </c>
      <c r="X55" t="n">
        <v>105</v>
      </c>
      <c r="Y55" t="n">
        <v>105</v>
      </c>
      <c r="Z55" t="n">
        <v>0.40392</v>
      </c>
      <c r="AA55" t="n">
        <v>0.04</v>
      </c>
      <c r="AB55" t="inlineStr">
        <is>
          <t>原值保留；补值为算例假设，见字段说明</t>
        </is>
      </c>
      <c r="AC55" t="n">
        <v>168</v>
      </c>
    </row>
    <row r="56" ht="34" customHeight="1">
      <c r="A56" t="inlineStr">
        <is>
          <t>GAS_0055</t>
        </is>
      </c>
      <c r="B56" t="inlineStr">
        <is>
          <t>930632000000000000</t>
        </is>
      </c>
      <c r="C56" t="inlineStr">
        <is>
          <t>苏吴中G113.8机_Jr</t>
        </is>
      </c>
      <c r="D56" t="n">
        <v>2</v>
      </c>
      <c r="E56" t="inlineStr">
        <is>
          <t>93043200000000</t>
        </is>
      </c>
      <c r="F56" t="n">
        <v>105</v>
      </c>
      <c r="G56" t="n">
        <v>81.90000000000001</v>
      </c>
      <c r="H56" t="n">
        <v>168</v>
      </c>
      <c r="I56" t="n">
        <v>96</v>
      </c>
      <c r="J56" t="n">
        <v>126</v>
      </c>
      <c r="K56" t="n">
        <v>126</v>
      </c>
      <c r="L56" t="n">
        <v>8e-06</v>
      </c>
      <c r="M56" t="n">
        <v>0.012</v>
      </c>
      <c r="N56" t="n">
        <v>0.3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7.4</v>
      </c>
      <c r="X56" t="n">
        <v>105</v>
      </c>
      <c r="Y56" t="n">
        <v>105</v>
      </c>
      <c r="Z56" t="n">
        <v>0.40392</v>
      </c>
      <c r="AA56" t="n">
        <v>0.04</v>
      </c>
      <c r="AB56" t="inlineStr">
        <is>
          <t>原值保留；补值为算例假设，见字段说明</t>
        </is>
      </c>
      <c r="AC56" t="n">
        <v>168</v>
      </c>
    </row>
    <row r="57" ht="34" customHeight="1">
      <c r="A57" t="inlineStr">
        <is>
          <t>GAS_0056</t>
        </is>
      </c>
      <c r="B57" t="inlineStr">
        <is>
          <t>930632000000000000</t>
        </is>
      </c>
      <c r="C57" t="inlineStr">
        <is>
          <t>苏吴燃G210.5机_Jr</t>
        </is>
      </c>
      <c r="D57" t="n">
        <v>2</v>
      </c>
      <c r="E57" t="inlineStr">
        <is>
          <t>93043200000000</t>
        </is>
      </c>
      <c r="F57" t="n">
        <v>120</v>
      </c>
      <c r="G57" t="n">
        <v>93.59999999999999</v>
      </c>
      <c r="H57" t="n">
        <v>168</v>
      </c>
      <c r="I57" t="n">
        <v>96</v>
      </c>
      <c r="J57" t="n">
        <v>144</v>
      </c>
      <c r="K57" t="n">
        <v>144</v>
      </c>
      <c r="L57" t="n">
        <v>8e-06</v>
      </c>
      <c r="M57" t="n">
        <v>0.012</v>
      </c>
      <c r="N57" t="n">
        <v>0.3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7.4</v>
      </c>
      <c r="X57" t="n">
        <v>120</v>
      </c>
      <c r="Y57" t="n">
        <v>120</v>
      </c>
      <c r="Z57" t="n">
        <v>0.40392</v>
      </c>
      <c r="AA57" t="n">
        <v>0.04</v>
      </c>
      <c r="AB57" t="inlineStr">
        <is>
          <t>原值保留；补值为算例假设，见字段说明</t>
        </is>
      </c>
      <c r="AC57" t="n">
        <v>168</v>
      </c>
    </row>
    <row r="58" ht="34" customHeight="1">
      <c r="A58" t="inlineStr">
        <is>
          <t>GAS_0057</t>
        </is>
      </c>
      <c r="B58" t="inlineStr">
        <is>
          <t>930632000000000000</t>
        </is>
      </c>
      <c r="C58" t="inlineStr">
        <is>
          <t>苏吴燃G110.5机_Jr</t>
        </is>
      </c>
      <c r="D58" t="n">
        <v>2</v>
      </c>
      <c r="E58" t="inlineStr">
        <is>
          <t>93043200000000</t>
        </is>
      </c>
      <c r="F58" t="n">
        <v>120</v>
      </c>
      <c r="G58" t="n">
        <v>93.59999999999999</v>
      </c>
      <c r="H58" t="n">
        <v>168</v>
      </c>
      <c r="I58" t="n">
        <v>96</v>
      </c>
      <c r="J58" t="n">
        <v>144</v>
      </c>
      <c r="K58" t="n">
        <v>144</v>
      </c>
      <c r="L58" t="n">
        <v>8e-06</v>
      </c>
      <c r="M58" t="n">
        <v>0.012</v>
      </c>
      <c r="N58" t="n">
        <v>0.3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7.4</v>
      </c>
      <c r="X58" t="n">
        <v>120</v>
      </c>
      <c r="Y58" t="n">
        <v>120</v>
      </c>
      <c r="Z58" t="n">
        <v>0.40392</v>
      </c>
      <c r="AA58" t="n">
        <v>0.04</v>
      </c>
      <c r="AB58" t="inlineStr">
        <is>
          <t>原值保留；补值为算例假设，见字段说明</t>
        </is>
      </c>
      <c r="AC58" t="n">
        <v>168</v>
      </c>
    </row>
    <row r="59" ht="34" customHeight="1">
      <c r="A59" t="inlineStr">
        <is>
          <t>GAS_0058</t>
        </is>
      </c>
      <c r="B59" t="inlineStr">
        <is>
          <t>930632000000000000</t>
        </is>
      </c>
      <c r="C59" t="inlineStr">
        <is>
          <t>苏苏循_410.5机_Jr</t>
        </is>
      </c>
      <c r="D59" t="n">
        <v>2</v>
      </c>
      <c r="E59" t="inlineStr">
        <is>
          <t>93043200000000</t>
        </is>
      </c>
      <c r="F59" t="n">
        <v>47</v>
      </c>
      <c r="G59" t="n">
        <v>36.66</v>
      </c>
      <c r="H59" t="n">
        <v>168</v>
      </c>
      <c r="I59" t="n">
        <v>96</v>
      </c>
      <c r="J59" t="n">
        <v>56.4</v>
      </c>
      <c r="K59" t="n">
        <v>56.4</v>
      </c>
      <c r="L59" t="n">
        <v>8e-06</v>
      </c>
      <c r="M59" t="n">
        <v>0.012</v>
      </c>
      <c r="N59" t="n">
        <v>0.3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7.4</v>
      </c>
      <c r="X59" t="n">
        <v>47</v>
      </c>
      <c r="Y59" t="n">
        <v>47</v>
      </c>
      <c r="Z59" t="n">
        <v>0.40392</v>
      </c>
      <c r="AA59" t="n">
        <v>0.04</v>
      </c>
      <c r="AB59" t="inlineStr">
        <is>
          <t>原值保留；补值为算例假设，见字段说明</t>
        </is>
      </c>
      <c r="AC59" t="n">
        <v>168</v>
      </c>
    </row>
    <row r="60" ht="34" customHeight="1">
      <c r="A60" t="inlineStr">
        <is>
          <t>GAS_0059</t>
        </is>
      </c>
      <c r="B60" t="inlineStr">
        <is>
          <t>930632000000000000</t>
        </is>
      </c>
      <c r="C60" t="inlineStr">
        <is>
          <t>苏苏循_313.8机_Jr</t>
        </is>
      </c>
      <c r="D60" t="n">
        <v>2</v>
      </c>
      <c r="E60" t="inlineStr">
        <is>
          <t>93043200000000</t>
        </is>
      </c>
      <c r="F60" t="n">
        <v>179</v>
      </c>
      <c r="G60" t="n">
        <v>139.62</v>
      </c>
      <c r="H60" t="n">
        <v>168</v>
      </c>
      <c r="I60" t="n">
        <v>96</v>
      </c>
      <c r="J60" t="n">
        <v>214.8</v>
      </c>
      <c r="K60" t="n">
        <v>214.8</v>
      </c>
      <c r="L60" t="n">
        <v>8e-06</v>
      </c>
      <c r="M60" t="n">
        <v>0.012</v>
      </c>
      <c r="N60" t="n">
        <v>0.3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7.4</v>
      </c>
      <c r="X60" t="n">
        <v>179</v>
      </c>
      <c r="Y60" t="n">
        <v>179</v>
      </c>
      <c r="Z60" t="n">
        <v>0.40392</v>
      </c>
      <c r="AA60" t="n">
        <v>0.04</v>
      </c>
      <c r="AB60" t="inlineStr">
        <is>
          <t>原值保留；补值为算例假设，见字段说明</t>
        </is>
      </c>
      <c r="AC60" t="n">
        <v>168</v>
      </c>
    </row>
    <row r="61" ht="34" customHeight="1">
      <c r="A61" t="inlineStr">
        <is>
          <t>GAS_0060</t>
        </is>
      </c>
      <c r="B61" t="inlineStr">
        <is>
          <t>930632000000000000</t>
        </is>
      </c>
      <c r="C61" t="inlineStr">
        <is>
          <t>苏苏循_210.5机_Jr</t>
        </is>
      </c>
      <c r="D61" t="n">
        <v>2</v>
      </c>
      <c r="E61" t="inlineStr">
        <is>
          <t>93043200000000</t>
        </is>
      </c>
      <c r="F61" t="n">
        <v>47</v>
      </c>
      <c r="G61" t="n">
        <v>36.66</v>
      </c>
      <c r="H61" t="n">
        <v>168</v>
      </c>
      <c r="I61" t="n">
        <v>96</v>
      </c>
      <c r="J61" t="n">
        <v>56.4</v>
      </c>
      <c r="K61" t="n">
        <v>56.4</v>
      </c>
      <c r="L61" t="n">
        <v>8e-06</v>
      </c>
      <c r="M61" t="n">
        <v>0.012</v>
      </c>
      <c r="N61" t="n">
        <v>0.3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7.4</v>
      </c>
      <c r="X61" t="n">
        <v>47</v>
      </c>
      <c r="Y61" t="n">
        <v>47</v>
      </c>
      <c r="Z61" t="n">
        <v>0.40392</v>
      </c>
      <c r="AA61" t="n">
        <v>0.04</v>
      </c>
      <c r="AB61" t="inlineStr">
        <is>
          <t>原值保留；补值为算例假设，见字段说明</t>
        </is>
      </c>
      <c r="AC61" t="n">
        <v>168</v>
      </c>
    </row>
    <row r="62" ht="34" customHeight="1">
      <c r="A62" t="inlineStr">
        <is>
          <t>GAS_0061</t>
        </is>
      </c>
      <c r="B62" t="inlineStr">
        <is>
          <t>930632000000000000</t>
        </is>
      </c>
      <c r="C62" t="inlineStr">
        <is>
          <t>苏苏循_113.8机_Jr</t>
        </is>
      </c>
      <c r="D62" t="n">
        <v>2</v>
      </c>
      <c r="E62" t="inlineStr">
        <is>
          <t>93043200000000</t>
        </is>
      </c>
      <c r="F62" t="n">
        <v>179</v>
      </c>
      <c r="G62" t="n">
        <v>139.62</v>
      </c>
      <c r="H62" t="n">
        <v>168</v>
      </c>
      <c r="I62" t="n">
        <v>96</v>
      </c>
      <c r="J62" t="n">
        <v>214.8</v>
      </c>
      <c r="K62" t="n">
        <v>214.8</v>
      </c>
      <c r="L62" t="n">
        <v>8e-06</v>
      </c>
      <c r="M62" t="n">
        <v>0.012</v>
      </c>
      <c r="N62" t="n">
        <v>0.3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7.4</v>
      </c>
      <c r="X62" t="n">
        <v>179</v>
      </c>
      <c r="Y62" t="n">
        <v>179</v>
      </c>
      <c r="Z62" t="n">
        <v>0.40392</v>
      </c>
      <c r="AA62" t="n">
        <v>0.04</v>
      </c>
      <c r="AB62" t="inlineStr">
        <is>
          <t>原值保留；补值为算例假设，见字段说明</t>
        </is>
      </c>
      <c r="AC62" t="n">
        <v>168</v>
      </c>
    </row>
    <row r="63" ht="34" customHeight="1">
      <c r="A63" t="inlineStr">
        <is>
          <t>GAS_0062</t>
        </is>
      </c>
      <c r="B63" t="inlineStr">
        <is>
          <t>930632000000000000</t>
        </is>
      </c>
      <c r="C63" t="inlineStr">
        <is>
          <t>苏熟燃G210.5机_Jr</t>
        </is>
      </c>
      <c r="D63" t="n">
        <v>2</v>
      </c>
      <c r="E63" t="inlineStr">
        <is>
          <t>93043200000000</t>
        </is>
      </c>
      <c r="F63" t="n">
        <v>126</v>
      </c>
      <c r="G63" t="n">
        <v>98.28</v>
      </c>
      <c r="H63" t="n">
        <v>168</v>
      </c>
      <c r="I63" t="n">
        <v>96</v>
      </c>
      <c r="J63" t="n">
        <v>151.2</v>
      </c>
      <c r="K63" t="n">
        <v>151.2</v>
      </c>
      <c r="L63" t="n">
        <v>8e-06</v>
      </c>
      <c r="M63" t="n">
        <v>0.012</v>
      </c>
      <c r="N63" t="n">
        <v>0.3</v>
      </c>
      <c r="O63" t="n">
        <v>3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7.4</v>
      </c>
      <c r="X63" t="n">
        <v>126</v>
      </c>
      <c r="Y63" t="n">
        <v>126</v>
      </c>
      <c r="Z63" t="n">
        <v>0.40392</v>
      </c>
      <c r="AA63" t="n">
        <v>0.04</v>
      </c>
      <c r="AB63" t="inlineStr">
        <is>
          <t>原值保留；补值为算例假设，见字段说明</t>
        </is>
      </c>
      <c r="AC63" t="n">
        <v>168</v>
      </c>
    </row>
    <row r="64" ht="34" customHeight="1">
      <c r="A64" t="inlineStr">
        <is>
          <t>GAS_0063</t>
        </is>
      </c>
      <c r="B64" t="inlineStr">
        <is>
          <t>930632000000000000</t>
        </is>
      </c>
      <c r="C64" t="inlineStr">
        <is>
          <t>苏熟燃G110.5机_Jr</t>
        </is>
      </c>
      <c r="D64" t="n">
        <v>2</v>
      </c>
      <c r="E64" t="inlineStr">
        <is>
          <t>93043200000000</t>
        </is>
      </c>
      <c r="F64" t="n">
        <v>126</v>
      </c>
      <c r="G64" t="n">
        <v>98.28</v>
      </c>
      <c r="H64" t="n">
        <v>168</v>
      </c>
      <c r="I64" t="n">
        <v>96</v>
      </c>
      <c r="J64" t="n">
        <v>151.2</v>
      </c>
      <c r="K64" t="n">
        <v>151.2</v>
      </c>
      <c r="L64" t="n">
        <v>8e-06</v>
      </c>
      <c r="M64" t="n">
        <v>0.012</v>
      </c>
      <c r="N64" t="n">
        <v>0.3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7.4</v>
      </c>
      <c r="X64" t="n">
        <v>126</v>
      </c>
      <c r="Y64" t="n">
        <v>126</v>
      </c>
      <c r="Z64" t="n">
        <v>0.40392</v>
      </c>
      <c r="AA64" t="n">
        <v>0.04</v>
      </c>
      <c r="AB64" t="inlineStr">
        <is>
          <t>原值保留；补值为算例假设，见字段说明</t>
        </is>
      </c>
      <c r="AC64" t="n">
        <v>168</v>
      </c>
    </row>
    <row r="65" ht="34" customHeight="1">
      <c r="A65" t="inlineStr">
        <is>
          <t>GAS_0064</t>
        </is>
      </c>
      <c r="B65" t="inlineStr">
        <is>
          <t>930632000000000000</t>
        </is>
      </c>
      <c r="C65" t="inlineStr">
        <is>
          <t>苏平燃_410.5机_Jr</t>
        </is>
      </c>
      <c r="D65" t="n">
        <v>2</v>
      </c>
      <c r="E65" t="inlineStr">
        <is>
          <t>93043200000000</t>
        </is>
      </c>
      <c r="F65" t="n">
        <v>60</v>
      </c>
      <c r="G65" t="n">
        <v>46.8</v>
      </c>
      <c r="H65" t="n">
        <v>168</v>
      </c>
      <c r="I65" t="n">
        <v>96</v>
      </c>
      <c r="J65" t="n">
        <v>72</v>
      </c>
      <c r="K65" t="n">
        <v>72</v>
      </c>
      <c r="L65" t="n">
        <v>8e-06</v>
      </c>
      <c r="M65" t="n">
        <v>0.012</v>
      </c>
      <c r="N65" t="n">
        <v>0.3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7.4</v>
      </c>
      <c r="X65" t="n">
        <v>60</v>
      </c>
      <c r="Y65" t="n">
        <v>60</v>
      </c>
      <c r="Z65" t="n">
        <v>0.40392</v>
      </c>
      <c r="AA65" t="n">
        <v>0.04</v>
      </c>
      <c r="AB65" t="inlineStr">
        <is>
          <t>原值保留；补值为算例假设，见字段说明</t>
        </is>
      </c>
      <c r="AC65" t="n">
        <v>168</v>
      </c>
    </row>
    <row r="66" ht="34" customHeight="1">
      <c r="A66" t="inlineStr">
        <is>
          <t>GAS_0065</t>
        </is>
      </c>
      <c r="B66" t="inlineStr">
        <is>
          <t>930632000000000000</t>
        </is>
      </c>
      <c r="C66" t="inlineStr">
        <is>
          <t>苏平燃_313.8机_Jr</t>
        </is>
      </c>
      <c r="D66" t="n">
        <v>2</v>
      </c>
      <c r="E66" t="inlineStr">
        <is>
          <t>93043200000000</t>
        </is>
      </c>
      <c r="F66" t="n">
        <v>120</v>
      </c>
      <c r="G66" t="n">
        <v>93.59999999999999</v>
      </c>
      <c r="H66" t="n">
        <v>168</v>
      </c>
      <c r="I66" t="n">
        <v>96</v>
      </c>
      <c r="J66" t="n">
        <v>144</v>
      </c>
      <c r="K66" t="n">
        <v>144</v>
      </c>
      <c r="L66" t="n">
        <v>8e-06</v>
      </c>
      <c r="M66" t="n">
        <v>0.012</v>
      </c>
      <c r="N66" t="n">
        <v>0.3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7.4</v>
      </c>
      <c r="X66" t="n">
        <v>120</v>
      </c>
      <c r="Y66" t="n">
        <v>120</v>
      </c>
      <c r="Z66" t="n">
        <v>0.40392</v>
      </c>
      <c r="AA66" t="n">
        <v>0.04</v>
      </c>
      <c r="AB66" t="inlineStr">
        <is>
          <t>原值保留；补值为算例假设，见字段说明</t>
        </is>
      </c>
      <c r="AC66" t="n">
        <v>168</v>
      </c>
    </row>
    <row r="67" ht="34" customHeight="1">
      <c r="A67" t="inlineStr">
        <is>
          <t>GAS_0066</t>
        </is>
      </c>
      <c r="B67" t="inlineStr">
        <is>
          <t>930632000000000000</t>
        </is>
      </c>
      <c r="C67" t="inlineStr">
        <is>
          <t>苏平燃_210.5机_Jr</t>
        </is>
      </c>
      <c r="D67" t="n">
        <v>2</v>
      </c>
      <c r="E67" t="inlineStr">
        <is>
          <t>93043200000000</t>
        </is>
      </c>
      <c r="F67" t="n">
        <v>60</v>
      </c>
      <c r="G67" t="n">
        <v>46.8</v>
      </c>
      <c r="H67" t="n">
        <v>168</v>
      </c>
      <c r="I67" t="n">
        <v>96</v>
      </c>
      <c r="J67" t="n">
        <v>72</v>
      </c>
      <c r="K67" t="n">
        <v>72</v>
      </c>
      <c r="L67" t="n">
        <v>8e-06</v>
      </c>
      <c r="M67" t="n">
        <v>0.012</v>
      </c>
      <c r="N67" t="n">
        <v>0.3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7.4</v>
      </c>
      <c r="X67" t="n">
        <v>60</v>
      </c>
      <c r="Y67" t="n">
        <v>60</v>
      </c>
      <c r="Z67" t="n">
        <v>0.40392</v>
      </c>
      <c r="AA67" t="n">
        <v>0.04</v>
      </c>
      <c r="AB67" t="inlineStr">
        <is>
          <t>原值保留；补值为算例假设，见字段说明</t>
        </is>
      </c>
      <c r="AC67" t="n">
        <v>168</v>
      </c>
    </row>
    <row r="68" ht="34" customHeight="1">
      <c r="A68" t="inlineStr">
        <is>
          <t>GAS_0067</t>
        </is>
      </c>
      <c r="B68" t="inlineStr">
        <is>
          <t>930632000000000000</t>
        </is>
      </c>
      <c r="C68" t="inlineStr">
        <is>
          <t>苏平燃_113.8机_Jr</t>
        </is>
      </c>
      <c r="D68" t="n">
        <v>2</v>
      </c>
      <c r="E68" t="inlineStr">
        <is>
          <t>93043200000000</t>
        </is>
      </c>
      <c r="F68" t="n">
        <v>120</v>
      </c>
      <c r="G68" t="n">
        <v>93.59999999999999</v>
      </c>
      <c r="H68" t="n">
        <v>168</v>
      </c>
      <c r="I68" t="n">
        <v>96</v>
      </c>
      <c r="J68" t="n">
        <v>144</v>
      </c>
      <c r="K68" t="n">
        <v>144</v>
      </c>
      <c r="L68" t="n">
        <v>8e-06</v>
      </c>
      <c r="M68" t="n">
        <v>0.012</v>
      </c>
      <c r="N68" t="n">
        <v>0.3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7.4</v>
      </c>
      <c r="X68" t="n">
        <v>120</v>
      </c>
      <c r="Y68" t="n">
        <v>120</v>
      </c>
      <c r="Z68" t="n">
        <v>0.40392</v>
      </c>
      <c r="AA68" t="n">
        <v>0.04</v>
      </c>
      <c r="AB68" t="inlineStr">
        <is>
          <t>原值保留；补值为算例假设，见字段说明</t>
        </is>
      </c>
      <c r="AC68" t="n">
        <v>168</v>
      </c>
    </row>
    <row r="69" ht="34" customHeight="1">
      <c r="A69" t="inlineStr">
        <is>
          <t>GAS_0068</t>
        </is>
      </c>
      <c r="B69" t="inlineStr">
        <is>
          <t>930632000000000000</t>
        </is>
      </c>
      <c r="C69" t="inlineStr">
        <is>
          <t>苏蓝天_410.5机_Jr</t>
        </is>
      </c>
      <c r="D69" t="n">
        <v>2</v>
      </c>
      <c r="E69" t="inlineStr">
        <is>
          <t>93043200000000</t>
        </is>
      </c>
      <c r="F69" t="n">
        <v>60</v>
      </c>
      <c r="G69" t="n">
        <v>46.8</v>
      </c>
      <c r="H69" t="n">
        <v>168</v>
      </c>
      <c r="I69" t="n">
        <v>96</v>
      </c>
      <c r="J69" t="n">
        <v>72</v>
      </c>
      <c r="K69" t="n">
        <v>72</v>
      </c>
      <c r="L69" t="n">
        <v>8e-06</v>
      </c>
      <c r="M69" t="n">
        <v>0.012</v>
      </c>
      <c r="N69" t="n">
        <v>0.3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7.4</v>
      </c>
      <c r="X69" t="n">
        <v>60</v>
      </c>
      <c r="Y69" t="n">
        <v>60</v>
      </c>
      <c r="Z69" t="n">
        <v>0.40392</v>
      </c>
      <c r="AA69" t="n">
        <v>0.04</v>
      </c>
      <c r="AB69" t="inlineStr">
        <is>
          <t>原值保留；补值为算例假设，见字段说明</t>
        </is>
      </c>
      <c r="AC69" t="n">
        <v>168</v>
      </c>
    </row>
    <row r="70" ht="34" customHeight="1">
      <c r="A70" t="inlineStr">
        <is>
          <t>GAS_0069</t>
        </is>
      </c>
      <c r="B70" t="inlineStr">
        <is>
          <t>930632000000000000</t>
        </is>
      </c>
      <c r="C70" t="inlineStr">
        <is>
          <t>苏蓝天_315.0机_Jr</t>
        </is>
      </c>
      <c r="D70" t="n">
        <v>2</v>
      </c>
      <c r="E70" t="inlineStr">
        <is>
          <t>93043200000000</t>
        </is>
      </c>
      <c r="F70" t="n">
        <v>120</v>
      </c>
      <c r="G70" t="n">
        <v>93.59999999999999</v>
      </c>
      <c r="H70" t="n">
        <v>168</v>
      </c>
      <c r="I70" t="n">
        <v>96</v>
      </c>
      <c r="J70" t="n">
        <v>144</v>
      </c>
      <c r="K70" t="n">
        <v>144</v>
      </c>
      <c r="L70" t="n">
        <v>8e-06</v>
      </c>
      <c r="M70" t="n">
        <v>0.012</v>
      </c>
      <c r="N70" t="n">
        <v>0.3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7.4</v>
      </c>
      <c r="X70" t="n">
        <v>120</v>
      </c>
      <c r="Y70" t="n">
        <v>120</v>
      </c>
      <c r="Z70" t="n">
        <v>0.40392</v>
      </c>
      <c r="AA70" t="n">
        <v>0.04</v>
      </c>
      <c r="AB70" t="inlineStr">
        <is>
          <t>原值保留；补值为算例假设，见字段说明</t>
        </is>
      </c>
      <c r="AC70" t="n">
        <v>168</v>
      </c>
    </row>
    <row r="71" ht="34" customHeight="1">
      <c r="A71" t="inlineStr">
        <is>
          <t>GAS_0070</t>
        </is>
      </c>
      <c r="B71" t="inlineStr">
        <is>
          <t>930632000000000000</t>
        </is>
      </c>
      <c r="C71" t="inlineStr">
        <is>
          <t>苏蓝天_210.5机_Jr</t>
        </is>
      </c>
      <c r="D71" t="n">
        <v>2</v>
      </c>
      <c r="E71" t="inlineStr">
        <is>
          <t>93043200000000</t>
        </is>
      </c>
      <c r="F71" t="n">
        <v>60</v>
      </c>
      <c r="G71" t="n">
        <v>46.8</v>
      </c>
      <c r="H71" t="n">
        <v>168</v>
      </c>
      <c r="I71" t="n">
        <v>96</v>
      </c>
      <c r="J71" t="n">
        <v>72</v>
      </c>
      <c r="K71" t="n">
        <v>72</v>
      </c>
      <c r="L71" t="n">
        <v>8e-06</v>
      </c>
      <c r="M71" t="n">
        <v>0.012</v>
      </c>
      <c r="N71" t="n">
        <v>0.3</v>
      </c>
      <c r="O71" t="n">
        <v>3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7.4</v>
      </c>
      <c r="X71" t="n">
        <v>60</v>
      </c>
      <c r="Y71" t="n">
        <v>60</v>
      </c>
      <c r="Z71" t="n">
        <v>0.40392</v>
      </c>
      <c r="AA71" t="n">
        <v>0.04</v>
      </c>
      <c r="AB71" t="inlineStr">
        <is>
          <t>原值保留；补值为算例假设，见字段说明</t>
        </is>
      </c>
      <c r="AC71" t="n">
        <v>168</v>
      </c>
    </row>
    <row r="72" ht="34" customHeight="1">
      <c r="A72" t="inlineStr">
        <is>
          <t>GAS_0071</t>
        </is>
      </c>
      <c r="B72" t="inlineStr">
        <is>
          <t>930632000000000000</t>
        </is>
      </c>
      <c r="C72" t="inlineStr">
        <is>
          <t>苏蓝天_115.0机_Jr</t>
        </is>
      </c>
      <c r="D72" t="n">
        <v>2</v>
      </c>
      <c r="E72" t="inlineStr">
        <is>
          <t>93043200000000</t>
        </is>
      </c>
      <c r="F72" t="n">
        <v>120</v>
      </c>
      <c r="G72" t="n">
        <v>93.59999999999999</v>
      </c>
      <c r="H72" t="n">
        <v>168</v>
      </c>
      <c r="I72" t="n">
        <v>96</v>
      </c>
      <c r="J72" t="n">
        <v>144</v>
      </c>
      <c r="K72" t="n">
        <v>144</v>
      </c>
      <c r="L72" t="n">
        <v>8e-06</v>
      </c>
      <c r="M72" t="n">
        <v>0.012</v>
      </c>
      <c r="N72" t="n">
        <v>0.3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7.4</v>
      </c>
      <c r="X72" t="n">
        <v>120</v>
      </c>
      <c r="Y72" t="n">
        <v>120</v>
      </c>
      <c r="Z72" t="n">
        <v>0.40392</v>
      </c>
      <c r="AA72" t="n">
        <v>0.04</v>
      </c>
      <c r="AB72" t="inlineStr">
        <is>
          <t>原值保留；补值为算例假设，见字段说明</t>
        </is>
      </c>
      <c r="AC72" t="n">
        <v>168</v>
      </c>
    </row>
    <row r="73" ht="34" customHeight="1">
      <c r="A73" t="inlineStr">
        <is>
          <t>GAS_0072</t>
        </is>
      </c>
      <c r="B73" t="inlineStr">
        <is>
          <t>930632000000000000</t>
        </is>
      </c>
      <c r="C73" t="inlineStr">
        <is>
          <t>苏昆燃_413.8机_Jr</t>
        </is>
      </c>
      <c r="D73" t="n">
        <v>2</v>
      </c>
      <c r="E73" t="inlineStr">
        <is>
          <t>93043200000000</t>
        </is>
      </c>
      <c r="F73" t="n">
        <v>101</v>
      </c>
      <c r="G73" t="n">
        <v>78.78</v>
      </c>
      <c r="H73" t="n">
        <v>168</v>
      </c>
      <c r="I73" t="n">
        <v>96</v>
      </c>
      <c r="J73" t="n">
        <v>121.2</v>
      </c>
      <c r="K73" t="n">
        <v>121.2</v>
      </c>
      <c r="L73" t="n">
        <v>8e-06</v>
      </c>
      <c r="M73" t="n">
        <v>0.012</v>
      </c>
      <c r="N73" t="n">
        <v>0.3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7.4</v>
      </c>
      <c r="X73" t="n">
        <v>101</v>
      </c>
      <c r="Y73" t="n">
        <v>101</v>
      </c>
      <c r="Z73" t="n">
        <v>0.40392</v>
      </c>
      <c r="AA73" t="n">
        <v>0.04</v>
      </c>
      <c r="AB73" t="inlineStr">
        <is>
          <t>原值保留；补值为算例假设，见字段说明</t>
        </is>
      </c>
      <c r="AC73" t="n">
        <v>168</v>
      </c>
    </row>
    <row r="74" ht="34" customHeight="1">
      <c r="A74" t="inlineStr">
        <is>
          <t>GAS_0073</t>
        </is>
      </c>
      <c r="B74" t="inlineStr">
        <is>
          <t>930632000000000000</t>
        </is>
      </c>
      <c r="C74" t="inlineStr">
        <is>
          <t>苏昆燃_318.0机_Jr</t>
        </is>
      </c>
      <c r="D74" t="n">
        <v>2</v>
      </c>
      <c r="E74" t="inlineStr">
        <is>
          <t>93043200000000</t>
        </is>
      </c>
      <c r="F74" t="n">
        <v>325</v>
      </c>
      <c r="G74" t="n">
        <v>253.5</v>
      </c>
      <c r="H74" t="n">
        <v>168</v>
      </c>
      <c r="I74" t="n">
        <v>96</v>
      </c>
      <c r="J74" t="n">
        <v>390</v>
      </c>
      <c r="K74" t="n">
        <v>390</v>
      </c>
      <c r="L74" t="n">
        <v>5e-06</v>
      </c>
      <c r="M74" t="n">
        <v>0.01</v>
      </c>
      <c r="N74" t="n">
        <v>0.5</v>
      </c>
      <c r="O74" t="n">
        <v>8</v>
      </c>
      <c r="P74" t="n">
        <v>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7.4</v>
      </c>
      <c r="X74" t="n">
        <v>325</v>
      </c>
      <c r="Y74" t="n">
        <v>325</v>
      </c>
      <c r="Z74" t="n">
        <v>0.40392</v>
      </c>
      <c r="AA74" t="n">
        <v>0.04</v>
      </c>
      <c r="AB74" t="inlineStr">
        <is>
          <t>原值保留；补值为算例假设，见字段说明</t>
        </is>
      </c>
      <c r="AC74" t="n">
        <v>168</v>
      </c>
    </row>
    <row r="75" ht="34" customHeight="1">
      <c r="A75" t="inlineStr">
        <is>
          <t>GAS_0074</t>
        </is>
      </c>
      <c r="B75" t="inlineStr">
        <is>
          <t>930632000000000000</t>
        </is>
      </c>
      <c r="C75" t="inlineStr">
        <is>
          <t>苏昆燃_213.8机_Jr</t>
        </is>
      </c>
      <c r="D75" t="n">
        <v>2</v>
      </c>
      <c r="E75" t="inlineStr">
        <is>
          <t>93043200000000</t>
        </is>
      </c>
      <c r="F75" t="n">
        <v>101</v>
      </c>
      <c r="G75" t="n">
        <v>78.78</v>
      </c>
      <c r="H75" t="n">
        <v>168</v>
      </c>
      <c r="I75" t="n">
        <v>96</v>
      </c>
      <c r="J75" t="n">
        <v>121.2</v>
      </c>
      <c r="K75" t="n">
        <v>121.2</v>
      </c>
      <c r="L75" t="n">
        <v>8e-06</v>
      </c>
      <c r="M75" t="n">
        <v>0.012</v>
      </c>
      <c r="N75" t="n">
        <v>0.3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7.4</v>
      </c>
      <c r="X75" t="n">
        <v>101</v>
      </c>
      <c r="Y75" t="n">
        <v>101</v>
      </c>
      <c r="Z75" t="n">
        <v>0.40392</v>
      </c>
      <c r="AA75" t="n">
        <v>0.04</v>
      </c>
      <c r="AB75" t="inlineStr">
        <is>
          <t>原值保留；补值为算例假设，见字段说明</t>
        </is>
      </c>
      <c r="AC75" t="n">
        <v>168</v>
      </c>
    </row>
    <row r="76" ht="34" customHeight="1">
      <c r="A76" t="inlineStr">
        <is>
          <t>GAS_0075</t>
        </is>
      </c>
      <c r="B76" t="inlineStr">
        <is>
          <t>930632000000000000</t>
        </is>
      </c>
      <c r="C76" t="inlineStr">
        <is>
          <t>苏昆燃_118.0机_Jr</t>
        </is>
      </c>
      <c r="D76" t="n">
        <v>2</v>
      </c>
      <c r="E76" t="inlineStr">
        <is>
          <t>93043200000000</t>
        </is>
      </c>
      <c r="F76" t="n">
        <v>325</v>
      </c>
      <c r="G76" t="n">
        <v>253.5</v>
      </c>
      <c r="H76" t="n">
        <v>168</v>
      </c>
      <c r="I76" t="n">
        <v>96</v>
      </c>
      <c r="J76" t="n">
        <v>390</v>
      </c>
      <c r="K76" t="n">
        <v>390</v>
      </c>
      <c r="L76" t="n">
        <v>5e-06</v>
      </c>
      <c r="M76" t="n">
        <v>0.01</v>
      </c>
      <c r="N76" t="n">
        <v>0.5</v>
      </c>
      <c r="O76" t="n">
        <v>8</v>
      </c>
      <c r="P76" t="n">
        <v>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7.4</v>
      </c>
      <c r="X76" t="n">
        <v>325</v>
      </c>
      <c r="Y76" t="n">
        <v>325</v>
      </c>
      <c r="Z76" t="n">
        <v>0.40392</v>
      </c>
      <c r="AA76" t="n">
        <v>0.04</v>
      </c>
      <c r="AB76" t="inlineStr">
        <is>
          <t>原值保留；补值为算例假设，见字段说明</t>
        </is>
      </c>
      <c r="AC76" t="n">
        <v>168</v>
      </c>
    </row>
    <row r="77" ht="34" customHeight="1">
      <c r="A77" t="inlineStr">
        <is>
          <t>GAS_0076</t>
        </is>
      </c>
      <c r="B77" t="inlineStr">
        <is>
          <t>930632000000000000</t>
        </is>
      </c>
      <c r="C77" t="inlineStr">
        <is>
          <t>苏华苏G213.8机_Jr</t>
        </is>
      </c>
      <c r="D77" t="n">
        <v>2</v>
      </c>
      <c r="E77" t="inlineStr">
        <is>
          <t>93043200000000</t>
        </is>
      </c>
      <c r="F77" t="n">
        <v>179</v>
      </c>
      <c r="G77" t="n">
        <v>139.62</v>
      </c>
      <c r="H77" t="n">
        <v>168</v>
      </c>
      <c r="I77" t="n">
        <v>96</v>
      </c>
      <c r="J77" t="n">
        <v>214.8</v>
      </c>
      <c r="K77" t="n">
        <v>214.8</v>
      </c>
      <c r="L77" t="n">
        <v>8e-06</v>
      </c>
      <c r="M77" t="n">
        <v>0.012</v>
      </c>
      <c r="N77" t="n">
        <v>0.3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7.4</v>
      </c>
      <c r="X77" t="n">
        <v>179</v>
      </c>
      <c r="Y77" t="n">
        <v>179</v>
      </c>
      <c r="Z77" t="n">
        <v>0.40392</v>
      </c>
      <c r="AA77" t="n">
        <v>0.04</v>
      </c>
      <c r="AB77" t="inlineStr">
        <is>
          <t>原值保留；补值为算例假设，见字段说明</t>
        </is>
      </c>
      <c r="AC77" t="n">
        <v>168</v>
      </c>
    </row>
    <row r="78" ht="34" customHeight="1">
      <c r="A78" t="inlineStr">
        <is>
          <t>GAS_0077</t>
        </is>
      </c>
      <c r="B78" t="inlineStr">
        <is>
          <t>930632000000000000</t>
        </is>
      </c>
      <c r="C78" t="inlineStr">
        <is>
          <t>苏华苏G113.8机_Jr</t>
        </is>
      </c>
      <c r="D78" t="n">
        <v>2</v>
      </c>
      <c r="E78" t="inlineStr">
        <is>
          <t>93043200000000</t>
        </is>
      </c>
      <c r="F78" t="n">
        <v>179</v>
      </c>
      <c r="G78" t="n">
        <v>139.62</v>
      </c>
      <c r="H78" t="n">
        <v>168</v>
      </c>
      <c r="I78" t="n">
        <v>96</v>
      </c>
      <c r="J78" t="n">
        <v>214.8</v>
      </c>
      <c r="K78" t="n">
        <v>214.8</v>
      </c>
      <c r="L78" t="n">
        <v>8e-06</v>
      </c>
      <c r="M78" t="n">
        <v>0.012</v>
      </c>
      <c r="N78" t="n">
        <v>0.3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7.4</v>
      </c>
      <c r="X78" t="n">
        <v>179</v>
      </c>
      <c r="Y78" t="n">
        <v>179</v>
      </c>
      <c r="Z78" t="n">
        <v>0.40392</v>
      </c>
      <c r="AA78" t="n">
        <v>0.04</v>
      </c>
      <c r="AB78" t="inlineStr">
        <is>
          <t>原值保留；补值为算例假设，见字段说明</t>
        </is>
      </c>
      <c r="AC78" t="n">
        <v>168</v>
      </c>
    </row>
    <row r="79" ht="34" customHeight="1">
      <c r="A79" t="inlineStr">
        <is>
          <t>GAS_0078</t>
        </is>
      </c>
      <c r="B79" t="inlineStr">
        <is>
          <t>930632000000000000</t>
        </is>
      </c>
      <c r="C79" t="inlineStr">
        <is>
          <t>苏北部_410.5机_Jr</t>
        </is>
      </c>
      <c r="D79" t="n">
        <v>2</v>
      </c>
      <c r="E79" t="inlineStr">
        <is>
          <t>93043200000000</t>
        </is>
      </c>
      <c r="F79" t="n">
        <v>60</v>
      </c>
      <c r="G79" t="n">
        <v>46.8</v>
      </c>
      <c r="H79" t="n">
        <v>168</v>
      </c>
      <c r="I79" t="n">
        <v>96</v>
      </c>
      <c r="J79" t="n">
        <v>72</v>
      </c>
      <c r="K79" t="n">
        <v>72</v>
      </c>
      <c r="L79" t="n">
        <v>8e-06</v>
      </c>
      <c r="M79" t="n">
        <v>0.012</v>
      </c>
      <c r="N79" t="n">
        <v>0.3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7.4</v>
      </c>
      <c r="X79" t="n">
        <v>60</v>
      </c>
      <c r="Y79" t="n">
        <v>60</v>
      </c>
      <c r="Z79" t="n">
        <v>0.40392</v>
      </c>
      <c r="AA79" t="n">
        <v>0.04</v>
      </c>
      <c r="AB79" t="inlineStr">
        <is>
          <t>原值保留；补值为算例假设，见字段说明</t>
        </is>
      </c>
      <c r="AC79" t="n">
        <v>168</v>
      </c>
    </row>
    <row r="80" ht="34" customHeight="1">
      <c r="A80" t="inlineStr">
        <is>
          <t>GAS_0079</t>
        </is>
      </c>
      <c r="B80" t="inlineStr">
        <is>
          <t>930632000000000000</t>
        </is>
      </c>
      <c r="C80" t="inlineStr">
        <is>
          <t>苏北部_313.8机_Jr</t>
        </is>
      </c>
      <c r="D80" t="n">
        <v>2</v>
      </c>
      <c r="E80" t="inlineStr">
        <is>
          <t>93043200000000</t>
        </is>
      </c>
      <c r="F80" t="n">
        <v>120</v>
      </c>
      <c r="G80" t="n">
        <v>93.59999999999999</v>
      </c>
      <c r="H80" t="n">
        <v>168</v>
      </c>
      <c r="I80" t="n">
        <v>96</v>
      </c>
      <c r="J80" t="n">
        <v>144</v>
      </c>
      <c r="K80" t="n">
        <v>144</v>
      </c>
      <c r="L80" t="n">
        <v>8e-06</v>
      </c>
      <c r="M80" t="n">
        <v>0.012</v>
      </c>
      <c r="N80" t="n">
        <v>0.3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7.4</v>
      </c>
      <c r="X80" t="n">
        <v>120</v>
      </c>
      <c r="Y80" t="n">
        <v>120</v>
      </c>
      <c r="Z80" t="n">
        <v>0.40392</v>
      </c>
      <c r="AA80" t="n">
        <v>0.04</v>
      </c>
      <c r="AB80" t="inlineStr">
        <is>
          <t>原值保留；补值为算例假设，见字段说明</t>
        </is>
      </c>
      <c r="AC80" t="n">
        <v>168</v>
      </c>
    </row>
    <row r="81" ht="34" customHeight="1">
      <c r="A81" t="inlineStr">
        <is>
          <t>GAS_0080</t>
        </is>
      </c>
      <c r="B81" t="inlineStr">
        <is>
          <t>930632000000000000</t>
        </is>
      </c>
      <c r="C81" t="inlineStr">
        <is>
          <t>苏北部_210.5机_Jr</t>
        </is>
      </c>
      <c r="D81" t="n">
        <v>2</v>
      </c>
      <c r="E81" t="inlineStr">
        <is>
          <t>93043200000000</t>
        </is>
      </c>
      <c r="F81" t="n">
        <v>60</v>
      </c>
      <c r="G81" t="n">
        <v>46.8</v>
      </c>
      <c r="H81" t="n">
        <v>168</v>
      </c>
      <c r="I81" t="n">
        <v>96</v>
      </c>
      <c r="J81" t="n">
        <v>72</v>
      </c>
      <c r="K81" t="n">
        <v>72</v>
      </c>
      <c r="L81" t="n">
        <v>8e-06</v>
      </c>
      <c r="M81" t="n">
        <v>0.012</v>
      </c>
      <c r="N81" t="n">
        <v>0.3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7.4</v>
      </c>
      <c r="X81" t="n">
        <v>60</v>
      </c>
      <c r="Y81" t="n">
        <v>60</v>
      </c>
      <c r="Z81" t="n">
        <v>0.40392</v>
      </c>
      <c r="AA81" t="n">
        <v>0.04</v>
      </c>
      <c r="AB81" t="inlineStr">
        <is>
          <t>原值保留；补值为算例假设，见字段说明</t>
        </is>
      </c>
      <c r="AC81" t="n">
        <v>168</v>
      </c>
    </row>
    <row r="82" ht="34" customHeight="1">
      <c r="A82" t="inlineStr">
        <is>
          <t>GAS_0081</t>
        </is>
      </c>
      <c r="B82" t="inlineStr">
        <is>
          <t>930632000000000000</t>
        </is>
      </c>
      <c r="C82" t="inlineStr">
        <is>
          <t>苏北部_113.8机_Jr</t>
        </is>
      </c>
      <c r="D82" t="n">
        <v>2</v>
      </c>
      <c r="E82" t="inlineStr">
        <is>
          <t>93043200000000</t>
        </is>
      </c>
      <c r="F82" t="n">
        <v>120</v>
      </c>
      <c r="G82" t="n">
        <v>93.59999999999999</v>
      </c>
      <c r="H82" t="n">
        <v>168</v>
      </c>
      <c r="I82" t="n">
        <v>96</v>
      </c>
      <c r="J82" t="n">
        <v>144</v>
      </c>
      <c r="K82" t="n">
        <v>144</v>
      </c>
      <c r="L82" t="n">
        <v>8e-06</v>
      </c>
      <c r="M82" t="n">
        <v>0.012</v>
      </c>
      <c r="N82" t="n">
        <v>0.3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7.4</v>
      </c>
      <c r="X82" t="n">
        <v>120</v>
      </c>
      <c r="Y82" t="n">
        <v>120</v>
      </c>
      <c r="Z82" t="n">
        <v>0.40392</v>
      </c>
      <c r="AA82" t="n">
        <v>0.04</v>
      </c>
      <c r="AB82" t="inlineStr">
        <is>
          <t>原值保留；补值为算例假设，见字段说明</t>
        </is>
      </c>
      <c r="AC82" t="n">
        <v>168</v>
      </c>
    </row>
    <row r="83" ht="34" customHeight="1">
      <c r="A83" t="inlineStr">
        <is>
          <t>GAS_0082</t>
        </is>
      </c>
      <c r="B83" t="inlineStr">
        <is>
          <t>930632000000000000</t>
        </is>
      </c>
      <c r="C83" t="inlineStr">
        <is>
          <t>苏望燃_120.0机_Jr</t>
        </is>
      </c>
      <c r="D83" t="n">
        <v>2</v>
      </c>
      <c r="E83" t="inlineStr">
        <is>
          <t>93043200000000</t>
        </is>
      </c>
      <c r="F83" t="n">
        <v>390</v>
      </c>
      <c r="G83" t="n">
        <v>292.5</v>
      </c>
      <c r="H83" t="n">
        <v>8</v>
      </c>
      <c r="I83" t="n">
        <v>8</v>
      </c>
      <c r="J83" t="n">
        <v>468</v>
      </c>
      <c r="K83" t="n">
        <v>468</v>
      </c>
      <c r="L83" t="n">
        <v>5e-06</v>
      </c>
      <c r="M83" t="n">
        <v>0.01</v>
      </c>
      <c r="N83" t="n">
        <v>0.5</v>
      </c>
      <c r="O83" t="n">
        <v>8</v>
      </c>
      <c r="P83" t="n">
        <v>8</v>
      </c>
      <c r="Q83" t="n">
        <v>-390</v>
      </c>
      <c r="R83" t="n">
        <v>390</v>
      </c>
      <c r="S83" t="n">
        <v>0</v>
      </c>
      <c r="T83" t="n">
        <v>0</v>
      </c>
      <c r="U83" t="n">
        <v>0</v>
      </c>
      <c r="V83" t="n">
        <v>0</v>
      </c>
      <c r="W83" t="n">
        <v>7.4</v>
      </c>
      <c r="X83" t="n">
        <v>390</v>
      </c>
      <c r="Y83" t="n">
        <v>390</v>
      </c>
      <c r="Z83" t="n">
        <v>0.40392</v>
      </c>
      <c r="AA83" t="n">
        <v>0.04</v>
      </c>
      <c r="AB83" t="inlineStr">
        <is>
          <t>原值保留；补值为算例假设，见字段说明</t>
        </is>
      </c>
      <c r="AC83" t="n">
        <v>8</v>
      </c>
    </row>
    <row r="84" ht="34" customHeight="1">
      <c r="A84" t="inlineStr">
        <is>
          <t>GAS_0083</t>
        </is>
      </c>
      <c r="B84" t="inlineStr">
        <is>
          <t>930632000000000000</t>
        </is>
      </c>
      <c r="C84" t="inlineStr">
        <is>
          <t>苏望燃_220.0机_Jr</t>
        </is>
      </c>
      <c r="D84" t="n">
        <v>2</v>
      </c>
      <c r="E84" t="inlineStr">
        <is>
          <t>93043200000000</t>
        </is>
      </c>
      <c r="F84" t="n">
        <v>390</v>
      </c>
      <c r="G84" t="n">
        <v>292.5</v>
      </c>
      <c r="H84" t="n">
        <v>8</v>
      </c>
      <c r="I84" t="n">
        <v>8</v>
      </c>
      <c r="J84" t="n">
        <v>468</v>
      </c>
      <c r="K84" t="n">
        <v>468</v>
      </c>
      <c r="L84" t="n">
        <v>5e-06</v>
      </c>
      <c r="M84" t="n">
        <v>0.01</v>
      </c>
      <c r="N84" t="n">
        <v>0.5</v>
      </c>
      <c r="O84" t="n">
        <v>8</v>
      </c>
      <c r="P84" t="n">
        <v>8</v>
      </c>
      <c r="Q84" t="n">
        <v>-390</v>
      </c>
      <c r="R84" t="n">
        <v>390</v>
      </c>
      <c r="S84" t="n">
        <v>0</v>
      </c>
      <c r="T84" t="n">
        <v>0</v>
      </c>
      <c r="U84" t="n">
        <v>0</v>
      </c>
      <c r="V84" t="n">
        <v>0</v>
      </c>
      <c r="W84" t="n">
        <v>7.4</v>
      </c>
      <c r="X84" t="n">
        <v>390</v>
      </c>
      <c r="Y84" t="n">
        <v>390</v>
      </c>
      <c r="Z84" t="n">
        <v>0.40392</v>
      </c>
      <c r="AA84" t="n">
        <v>0.04</v>
      </c>
      <c r="AB84" t="inlineStr">
        <is>
          <t>原值保留；补值为算例假设，见字段说明</t>
        </is>
      </c>
      <c r="AC84" t="n">
        <v>8</v>
      </c>
    </row>
    <row r="85" ht="34" customHeight="1">
      <c r="A85" t="inlineStr">
        <is>
          <t>GAS_0084</t>
        </is>
      </c>
      <c r="B85" t="inlineStr">
        <is>
          <t>930632000000000000</t>
        </is>
      </c>
      <c r="C85" t="inlineStr">
        <is>
          <t>苏望亭E120.0机_Jr</t>
        </is>
      </c>
      <c r="D85" t="n">
        <v>2</v>
      </c>
      <c r="E85" t="inlineStr">
        <is>
          <t>93043200000000</t>
        </is>
      </c>
      <c r="F85" t="n">
        <v>485</v>
      </c>
      <c r="G85" t="n">
        <v>363.75</v>
      </c>
      <c r="H85" t="n">
        <v>8</v>
      </c>
      <c r="I85" t="n">
        <v>8</v>
      </c>
      <c r="J85" t="n">
        <v>582</v>
      </c>
      <c r="K85" t="n">
        <v>582</v>
      </c>
      <c r="L85" t="n">
        <v>5e-06</v>
      </c>
      <c r="M85" t="n">
        <v>0.01</v>
      </c>
      <c r="N85" t="n">
        <v>0.5</v>
      </c>
      <c r="O85" t="n">
        <v>8</v>
      </c>
      <c r="P85" t="n">
        <v>8</v>
      </c>
      <c r="Q85" t="n">
        <v>-485</v>
      </c>
      <c r="R85" t="n">
        <v>485</v>
      </c>
      <c r="S85" t="n">
        <v>0</v>
      </c>
      <c r="T85" t="n">
        <v>0</v>
      </c>
      <c r="U85" t="n">
        <v>0</v>
      </c>
      <c r="V85" t="n">
        <v>0</v>
      </c>
      <c r="W85" t="n">
        <v>7.4</v>
      </c>
      <c r="X85" t="n">
        <v>485</v>
      </c>
      <c r="Y85" t="n">
        <v>485</v>
      </c>
      <c r="Z85" t="n">
        <v>0.40392</v>
      </c>
      <c r="AA85" t="n">
        <v>0.04</v>
      </c>
      <c r="AB85" t="inlineStr">
        <is>
          <t>原值保留；补值为算例假设，见字段说明</t>
        </is>
      </c>
      <c r="AC85" t="n">
        <v>8</v>
      </c>
    </row>
    <row r="86" ht="34" customHeight="1">
      <c r="A86" t="inlineStr">
        <is>
          <t>GAS_0085</t>
        </is>
      </c>
      <c r="B86" t="inlineStr">
        <is>
          <t>930632000000000000</t>
        </is>
      </c>
      <c r="C86" t="inlineStr">
        <is>
          <t>苏望燃G424.0机_Jr</t>
        </is>
      </c>
      <c r="D86" t="n">
        <v>2</v>
      </c>
      <c r="E86" t="inlineStr">
        <is>
          <t>93043200000000</t>
        </is>
      </c>
      <c r="F86" t="n">
        <v>485</v>
      </c>
      <c r="G86" t="n">
        <v>363.75</v>
      </c>
      <c r="H86" t="n">
        <v>8</v>
      </c>
      <c r="I86" t="n">
        <v>8</v>
      </c>
      <c r="J86" t="n">
        <v>582</v>
      </c>
      <c r="K86" t="n">
        <v>582</v>
      </c>
      <c r="L86" t="n">
        <v>5e-06</v>
      </c>
      <c r="M86" t="n">
        <v>0.01</v>
      </c>
      <c r="N86" t="n">
        <v>0.5</v>
      </c>
      <c r="O86" t="n">
        <v>8</v>
      </c>
      <c r="P86" t="n">
        <v>8</v>
      </c>
      <c r="Q86" t="n">
        <v>-485</v>
      </c>
      <c r="R86" t="n">
        <v>485</v>
      </c>
      <c r="S86" t="n">
        <v>0</v>
      </c>
      <c r="T86" t="n">
        <v>0</v>
      </c>
      <c r="U86" t="n">
        <v>0</v>
      </c>
      <c r="V86" t="n">
        <v>0</v>
      </c>
      <c r="W86" t="n">
        <v>7.4</v>
      </c>
      <c r="X86" t="n">
        <v>485</v>
      </c>
      <c r="Y86" t="n">
        <v>485</v>
      </c>
      <c r="Z86" t="n">
        <v>0.40392</v>
      </c>
      <c r="AA86" t="n">
        <v>0.04</v>
      </c>
      <c r="AB86" t="inlineStr">
        <is>
          <t>原值保留；补值为算例假设，见字段说明</t>
        </is>
      </c>
      <c r="AC86" t="n">
        <v>8</v>
      </c>
    </row>
    <row r="87" ht="34" customHeight="1">
      <c r="A87" t="inlineStr">
        <is>
          <t>GAS_0086</t>
        </is>
      </c>
      <c r="B87" t="inlineStr">
        <is>
          <t>930632000000000000</t>
        </is>
      </c>
      <c r="C87" t="inlineStr">
        <is>
          <t>苏华兴_119.0机_Jr</t>
        </is>
      </c>
      <c r="D87" t="n">
        <v>2</v>
      </c>
      <c r="E87" t="inlineStr">
        <is>
          <t>93043200000000</t>
        </is>
      </c>
      <c r="F87" t="n">
        <v>390</v>
      </c>
      <c r="G87" t="n">
        <v>292.5</v>
      </c>
      <c r="H87" t="n">
        <v>8</v>
      </c>
      <c r="I87" t="n">
        <v>8</v>
      </c>
      <c r="J87" t="n">
        <v>468</v>
      </c>
      <c r="K87" t="n">
        <v>468</v>
      </c>
      <c r="L87" t="n">
        <v>5e-06</v>
      </c>
      <c r="M87" t="n">
        <v>0.01</v>
      </c>
      <c r="N87" t="n">
        <v>0.5</v>
      </c>
      <c r="O87" t="n">
        <v>8</v>
      </c>
      <c r="P87" t="n">
        <v>8</v>
      </c>
      <c r="Q87" t="n">
        <v>-390</v>
      </c>
      <c r="R87" t="n">
        <v>390</v>
      </c>
      <c r="S87" t="n">
        <v>0</v>
      </c>
      <c r="T87" t="n">
        <v>0</v>
      </c>
      <c r="U87" t="n">
        <v>0</v>
      </c>
      <c r="V87" t="n">
        <v>0</v>
      </c>
      <c r="W87" t="n">
        <v>7.4</v>
      </c>
      <c r="X87" t="n">
        <v>390</v>
      </c>
      <c r="Y87" t="n">
        <v>390</v>
      </c>
      <c r="Z87" t="n">
        <v>0.40392</v>
      </c>
      <c r="AA87" t="n">
        <v>0.04</v>
      </c>
      <c r="AB87" t="inlineStr">
        <is>
          <t>原值保留；补值为算例假设，见字段说明</t>
        </is>
      </c>
      <c r="AC87" t="n">
        <v>8</v>
      </c>
    </row>
    <row r="88" ht="34" customHeight="1">
      <c r="A88" t="inlineStr">
        <is>
          <t>GAS_0087</t>
        </is>
      </c>
      <c r="B88" t="inlineStr">
        <is>
          <t>930632000000000000</t>
        </is>
      </c>
      <c r="C88" t="inlineStr">
        <is>
          <t>苏华兴_219.0机_Jr</t>
        </is>
      </c>
      <c r="D88" t="n">
        <v>2</v>
      </c>
      <c r="E88" t="inlineStr">
        <is>
          <t>93043200000000</t>
        </is>
      </c>
      <c r="F88" t="n">
        <v>390</v>
      </c>
      <c r="G88" t="n">
        <v>292.5</v>
      </c>
      <c r="H88" t="n">
        <v>8</v>
      </c>
      <c r="I88" t="n">
        <v>8</v>
      </c>
      <c r="J88" t="n">
        <v>468</v>
      </c>
      <c r="K88" t="n">
        <v>468</v>
      </c>
      <c r="L88" t="n">
        <v>5e-06</v>
      </c>
      <c r="M88" t="n">
        <v>0.01</v>
      </c>
      <c r="N88" t="n">
        <v>0.5</v>
      </c>
      <c r="O88" t="n">
        <v>8</v>
      </c>
      <c r="P88" t="n">
        <v>8</v>
      </c>
      <c r="Q88" t="n">
        <v>-390</v>
      </c>
      <c r="R88" t="n">
        <v>390</v>
      </c>
      <c r="S88" t="n">
        <v>0</v>
      </c>
      <c r="T88" t="n">
        <v>0</v>
      </c>
      <c r="U88" t="n">
        <v>0</v>
      </c>
      <c r="V88" t="n">
        <v>0</v>
      </c>
      <c r="W88" t="n">
        <v>7.4</v>
      </c>
      <c r="X88" t="n">
        <v>390</v>
      </c>
      <c r="Y88" t="n">
        <v>390</v>
      </c>
      <c r="Z88" t="n">
        <v>0.40392</v>
      </c>
      <c r="AA88" t="n">
        <v>0.04</v>
      </c>
      <c r="AB88" t="inlineStr">
        <is>
          <t>原值保留；补值为算例假设，见字段说明</t>
        </is>
      </c>
      <c r="AC88" t="n">
        <v>8</v>
      </c>
    </row>
    <row r="89" ht="34" customHeight="1">
      <c r="A89" t="inlineStr">
        <is>
          <t>GAS_0088</t>
        </is>
      </c>
      <c r="B89" t="inlineStr">
        <is>
          <t>930632000000000000</t>
        </is>
      </c>
      <c r="C89" t="inlineStr">
        <is>
          <t>苏华仪_610.5机_Jr</t>
        </is>
      </c>
      <c r="D89" t="n">
        <v>3</v>
      </c>
      <c r="E89" t="inlineStr">
        <is>
          <t>93043200000000</t>
        </is>
      </c>
      <c r="F89" t="n">
        <v>60</v>
      </c>
      <c r="G89" t="n">
        <v>46.8</v>
      </c>
      <c r="H89" t="n">
        <v>168</v>
      </c>
      <c r="I89" t="n">
        <v>96</v>
      </c>
      <c r="J89" t="n">
        <v>72</v>
      </c>
      <c r="K89" t="n">
        <v>72</v>
      </c>
      <c r="L89" t="n">
        <v>8e-06</v>
      </c>
      <c r="M89" t="n">
        <v>0.012</v>
      </c>
      <c r="N89" t="n">
        <v>0.3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7.4</v>
      </c>
      <c r="X89" t="n">
        <v>60</v>
      </c>
      <c r="Y89" t="n">
        <v>60</v>
      </c>
      <c r="Z89" t="n">
        <v>0.40392</v>
      </c>
      <c r="AA89" t="n">
        <v>0.04</v>
      </c>
      <c r="AB89" t="inlineStr">
        <is>
          <t>原值保留；补值为算例假设，见字段说明</t>
        </is>
      </c>
      <c r="AC89" t="n">
        <v>168</v>
      </c>
    </row>
    <row r="90" ht="34" customHeight="1">
      <c r="A90" t="inlineStr">
        <is>
          <t>GAS_0089</t>
        </is>
      </c>
      <c r="B90" t="inlineStr">
        <is>
          <t>930632000000000000</t>
        </is>
      </c>
      <c r="C90" t="inlineStr">
        <is>
          <t>苏华仪_518.0机_Jr</t>
        </is>
      </c>
      <c r="D90" t="n">
        <v>3</v>
      </c>
      <c r="E90" t="inlineStr">
        <is>
          <t>93043200000000</t>
        </is>
      </c>
      <c r="F90" t="n">
        <v>160</v>
      </c>
      <c r="G90" t="n">
        <v>124.8</v>
      </c>
      <c r="H90" t="n">
        <v>168</v>
      </c>
      <c r="I90" t="n">
        <v>96</v>
      </c>
      <c r="J90" t="n">
        <v>192</v>
      </c>
      <c r="K90" t="n">
        <v>192</v>
      </c>
      <c r="L90" t="n">
        <v>8e-06</v>
      </c>
      <c r="M90" t="n">
        <v>0.012</v>
      </c>
      <c r="N90" t="n">
        <v>0.3</v>
      </c>
      <c r="O90" t="n">
        <v>3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7.4</v>
      </c>
      <c r="X90" t="n">
        <v>160</v>
      </c>
      <c r="Y90" t="n">
        <v>160</v>
      </c>
      <c r="Z90" t="n">
        <v>0.40392</v>
      </c>
      <c r="AA90" t="n">
        <v>0.04</v>
      </c>
      <c r="AB90" t="inlineStr">
        <is>
          <t>原值保留；补值为算例假设，见字段说明</t>
        </is>
      </c>
      <c r="AC90" t="n">
        <v>168</v>
      </c>
    </row>
    <row r="91" ht="34" customHeight="1">
      <c r="A91" t="inlineStr">
        <is>
          <t>GAS_0090</t>
        </is>
      </c>
      <c r="B91" t="inlineStr">
        <is>
          <t>930632000000000000</t>
        </is>
      </c>
      <c r="C91" t="inlineStr">
        <is>
          <t>苏华仪_410.5机_Jr</t>
        </is>
      </c>
      <c r="D91" t="n">
        <v>3</v>
      </c>
      <c r="E91" t="inlineStr">
        <is>
          <t>93043200000000</t>
        </is>
      </c>
      <c r="F91" t="n">
        <v>60</v>
      </c>
      <c r="G91" t="n">
        <v>46.8</v>
      </c>
      <c r="H91" t="n">
        <v>168</v>
      </c>
      <c r="I91" t="n">
        <v>96</v>
      </c>
      <c r="J91" t="n">
        <v>72</v>
      </c>
      <c r="K91" t="n">
        <v>72</v>
      </c>
      <c r="L91" t="n">
        <v>8e-06</v>
      </c>
      <c r="M91" t="n">
        <v>0.012</v>
      </c>
      <c r="N91" t="n">
        <v>0.3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7.4</v>
      </c>
      <c r="X91" t="n">
        <v>60</v>
      </c>
      <c r="Y91" t="n">
        <v>60</v>
      </c>
      <c r="Z91" t="n">
        <v>0.40392</v>
      </c>
      <c r="AA91" t="n">
        <v>0.04</v>
      </c>
      <c r="AB91" t="inlineStr">
        <is>
          <t>原值保留；补值为算例假设，见字段说明</t>
        </is>
      </c>
      <c r="AC91" t="n">
        <v>168</v>
      </c>
    </row>
    <row r="92" ht="34" customHeight="1">
      <c r="A92" t="inlineStr">
        <is>
          <t>GAS_0091</t>
        </is>
      </c>
      <c r="B92" t="inlineStr">
        <is>
          <t>930632000000000000</t>
        </is>
      </c>
      <c r="C92" t="inlineStr">
        <is>
          <t>苏华仪_318.0机_Jr</t>
        </is>
      </c>
      <c r="D92" t="n">
        <v>3</v>
      </c>
      <c r="E92" t="inlineStr">
        <is>
          <t>93043200000000</t>
        </is>
      </c>
      <c r="F92" t="n">
        <v>160</v>
      </c>
      <c r="G92" t="n">
        <v>124.8</v>
      </c>
      <c r="H92" t="n">
        <v>168</v>
      </c>
      <c r="I92" t="n">
        <v>96</v>
      </c>
      <c r="J92" t="n">
        <v>192</v>
      </c>
      <c r="K92" t="n">
        <v>192</v>
      </c>
      <c r="L92" t="n">
        <v>8e-06</v>
      </c>
      <c r="M92" t="n">
        <v>0.012</v>
      </c>
      <c r="N92" t="n">
        <v>0.3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7.4</v>
      </c>
      <c r="X92" t="n">
        <v>160</v>
      </c>
      <c r="Y92" t="n">
        <v>160</v>
      </c>
      <c r="Z92" t="n">
        <v>0.40392</v>
      </c>
      <c r="AA92" t="n">
        <v>0.04</v>
      </c>
      <c r="AB92" t="inlineStr">
        <is>
          <t>原值保留；补值为算例假设，见字段说明</t>
        </is>
      </c>
      <c r="AC92" t="n">
        <v>168</v>
      </c>
    </row>
    <row r="93" ht="34" customHeight="1">
      <c r="A93" t="inlineStr">
        <is>
          <t>GAS_0092</t>
        </is>
      </c>
      <c r="B93" t="inlineStr">
        <is>
          <t>930632000000000000</t>
        </is>
      </c>
      <c r="C93" t="inlineStr">
        <is>
          <t>苏华仪_210.5机_Jr</t>
        </is>
      </c>
      <c r="D93" t="n">
        <v>3</v>
      </c>
      <c r="E93" t="inlineStr">
        <is>
          <t>93043200000000</t>
        </is>
      </c>
      <c r="F93" t="n">
        <v>60</v>
      </c>
      <c r="G93" t="n">
        <v>46.8</v>
      </c>
      <c r="H93" t="n">
        <v>168</v>
      </c>
      <c r="I93" t="n">
        <v>96</v>
      </c>
      <c r="J93" t="n">
        <v>72</v>
      </c>
      <c r="K93" t="n">
        <v>72</v>
      </c>
      <c r="L93" t="n">
        <v>8e-06</v>
      </c>
      <c r="M93" t="n">
        <v>0.012</v>
      </c>
      <c r="N93" t="n">
        <v>0.3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7.4</v>
      </c>
      <c r="X93" t="n">
        <v>60</v>
      </c>
      <c r="Y93" t="n">
        <v>60</v>
      </c>
      <c r="Z93" t="n">
        <v>0.40392</v>
      </c>
      <c r="AA93" t="n">
        <v>0.04</v>
      </c>
      <c r="AB93" t="inlineStr">
        <is>
          <t>原值保留；补值为算例假设，见字段说明</t>
        </is>
      </c>
      <c r="AC93" t="n">
        <v>168</v>
      </c>
    </row>
    <row r="94" ht="34" customHeight="1">
      <c r="A94" t="inlineStr">
        <is>
          <t>GAS_0093</t>
        </is>
      </c>
      <c r="B94" t="inlineStr">
        <is>
          <t>930632000000000000</t>
        </is>
      </c>
      <c r="C94" t="inlineStr">
        <is>
          <t>苏华仪_118.0机_Jr</t>
        </is>
      </c>
      <c r="D94" t="n">
        <v>3</v>
      </c>
      <c r="E94" t="inlineStr">
        <is>
          <t>93043200000000</t>
        </is>
      </c>
      <c r="F94" t="n">
        <v>160</v>
      </c>
      <c r="G94" t="n">
        <v>124.8</v>
      </c>
      <c r="H94" t="n">
        <v>168</v>
      </c>
      <c r="I94" t="n">
        <v>96</v>
      </c>
      <c r="J94" t="n">
        <v>192</v>
      </c>
      <c r="K94" t="n">
        <v>192</v>
      </c>
      <c r="L94" t="n">
        <v>8e-06</v>
      </c>
      <c r="M94" t="n">
        <v>0.012</v>
      </c>
      <c r="N94" t="n">
        <v>0.3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7.4</v>
      </c>
      <c r="X94" t="n">
        <v>160</v>
      </c>
      <c r="Y94" t="n">
        <v>160</v>
      </c>
      <c r="Z94" t="n">
        <v>0.40392</v>
      </c>
      <c r="AA94" t="n">
        <v>0.04</v>
      </c>
      <c r="AB94" t="inlineStr">
        <is>
          <t>原值保留；补值为算例假设，见字段说明</t>
        </is>
      </c>
      <c r="AC94" t="n">
        <v>168</v>
      </c>
    </row>
    <row r="95" ht="34" customHeight="1">
      <c r="A95" t="inlineStr">
        <is>
          <t>GAS_0094</t>
        </is>
      </c>
      <c r="B95" t="inlineStr">
        <is>
          <t>930632000000000000</t>
        </is>
      </c>
      <c r="C95" t="inlineStr">
        <is>
          <t>苏国仪_211.5机_Jr</t>
        </is>
      </c>
      <c r="D95" t="n">
        <v>3</v>
      </c>
      <c r="E95" t="inlineStr">
        <is>
          <t>93043200000000</t>
        </is>
      </c>
      <c r="F95" t="n">
        <v>118</v>
      </c>
      <c r="G95" t="n">
        <v>92.04000000000001</v>
      </c>
      <c r="H95" t="n">
        <v>168</v>
      </c>
      <c r="I95" t="n">
        <v>96</v>
      </c>
      <c r="J95" t="n">
        <v>141.6</v>
      </c>
      <c r="K95" t="n">
        <v>141.6</v>
      </c>
      <c r="L95" t="n">
        <v>8e-06</v>
      </c>
      <c r="M95" t="n">
        <v>0.012</v>
      </c>
      <c r="N95" t="n">
        <v>0.3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7.4</v>
      </c>
      <c r="X95" t="n">
        <v>118</v>
      </c>
      <c r="Y95" t="n">
        <v>118</v>
      </c>
      <c r="Z95" t="n">
        <v>0.40392</v>
      </c>
      <c r="AA95" t="n">
        <v>0.04</v>
      </c>
      <c r="AB95" t="inlineStr">
        <is>
          <t>原值保留；补值为算例假设，见字段说明</t>
        </is>
      </c>
      <c r="AC95" t="n">
        <v>168</v>
      </c>
    </row>
    <row r="96" ht="34" customHeight="1">
      <c r="A96" t="inlineStr">
        <is>
          <t>GAS_0095</t>
        </is>
      </c>
      <c r="B96" t="inlineStr">
        <is>
          <t>930632000000000000</t>
        </is>
      </c>
      <c r="C96" t="inlineStr">
        <is>
          <t>苏国仪_111.5机_Jr</t>
        </is>
      </c>
      <c r="D96" t="n">
        <v>3</v>
      </c>
      <c r="E96" t="inlineStr">
        <is>
          <t>93043200000000</t>
        </is>
      </c>
      <c r="F96" t="n">
        <v>118</v>
      </c>
      <c r="G96" t="n">
        <v>92.04000000000001</v>
      </c>
      <c r="H96" t="n">
        <v>168</v>
      </c>
      <c r="I96" t="n">
        <v>96</v>
      </c>
      <c r="J96" t="n">
        <v>141.6</v>
      </c>
      <c r="K96" t="n">
        <v>141.6</v>
      </c>
      <c r="L96" t="n">
        <v>8e-06</v>
      </c>
      <c r="M96" t="n">
        <v>0.012</v>
      </c>
      <c r="N96" t="n">
        <v>0.3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7.4</v>
      </c>
      <c r="X96" t="n">
        <v>118</v>
      </c>
      <c r="Y96" t="n">
        <v>118</v>
      </c>
      <c r="Z96" t="n">
        <v>0.40392</v>
      </c>
      <c r="AA96" t="n">
        <v>0.04</v>
      </c>
      <c r="AB96" t="inlineStr">
        <is>
          <t>原值保留；补值为算例假设，见字段说明</t>
        </is>
      </c>
      <c r="AC96" t="n">
        <v>168</v>
      </c>
    </row>
    <row r="97" ht="34" customHeight="1">
      <c r="A97" t="inlineStr">
        <is>
          <t>GAS_0096</t>
        </is>
      </c>
      <c r="B97" t="inlineStr">
        <is>
          <t>930632000000000000</t>
        </is>
      </c>
      <c r="C97" t="inlineStr">
        <is>
          <t>苏高燃_211.5机_Jr</t>
        </is>
      </c>
      <c r="D97" t="n">
        <v>3</v>
      </c>
      <c r="E97" t="inlineStr">
        <is>
          <t>93043200000000</t>
        </is>
      </c>
      <c r="F97" t="n">
        <v>118</v>
      </c>
      <c r="G97" t="n">
        <v>92.04000000000001</v>
      </c>
      <c r="H97" t="n">
        <v>168</v>
      </c>
      <c r="I97" t="n">
        <v>96</v>
      </c>
      <c r="J97" t="n">
        <v>141.6</v>
      </c>
      <c r="K97" t="n">
        <v>141.6</v>
      </c>
      <c r="L97" t="n">
        <v>8e-06</v>
      </c>
      <c r="M97" t="n">
        <v>0.012</v>
      </c>
      <c r="N97" t="n">
        <v>0.3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7.4</v>
      </c>
      <c r="X97" t="n">
        <v>118</v>
      </c>
      <c r="Y97" t="n">
        <v>118</v>
      </c>
      <c r="Z97" t="n">
        <v>0.40392</v>
      </c>
      <c r="AA97" t="n">
        <v>0.04</v>
      </c>
      <c r="AB97" t="inlineStr">
        <is>
          <t>原值保留；补值为算例假设，见字段说明</t>
        </is>
      </c>
      <c r="AC97" t="n">
        <v>168</v>
      </c>
    </row>
    <row r="98" ht="34" customHeight="1">
      <c r="A98" t="inlineStr">
        <is>
          <t>GAS_0097</t>
        </is>
      </c>
      <c r="B98" t="inlineStr">
        <is>
          <t>930632000000000000</t>
        </is>
      </c>
      <c r="C98" t="inlineStr">
        <is>
          <t>苏高燃_111.5机_Jr</t>
        </is>
      </c>
      <c r="D98" t="n">
        <v>3</v>
      </c>
      <c r="E98" t="inlineStr">
        <is>
          <t>93043200000000</t>
        </is>
      </c>
      <c r="F98" t="n">
        <v>118</v>
      </c>
      <c r="G98" t="n">
        <v>92.04000000000001</v>
      </c>
      <c r="H98" t="n">
        <v>168</v>
      </c>
      <c r="I98" t="n">
        <v>96</v>
      </c>
      <c r="J98" t="n">
        <v>141.6</v>
      </c>
      <c r="K98" t="n">
        <v>141.6</v>
      </c>
      <c r="L98" t="n">
        <v>8e-06</v>
      </c>
      <c r="M98" t="n">
        <v>0.012</v>
      </c>
      <c r="N98" t="n">
        <v>0.3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7.4</v>
      </c>
      <c r="X98" t="n">
        <v>118</v>
      </c>
      <c r="Y98" t="n">
        <v>118</v>
      </c>
      <c r="Z98" t="n">
        <v>0.40392</v>
      </c>
      <c r="AA98" t="n">
        <v>0.04</v>
      </c>
      <c r="AB98" t="inlineStr">
        <is>
          <t>原值保留；补值为算例假设，见字段说明</t>
        </is>
      </c>
      <c r="AC98" t="n">
        <v>168</v>
      </c>
    </row>
    <row r="99" ht="34" customHeight="1">
      <c r="A99" t="inlineStr">
        <is>
          <t>GAS_0098</t>
        </is>
      </c>
      <c r="B99" t="inlineStr">
        <is>
          <t>930632000000000000</t>
        </is>
      </c>
      <c r="C99" t="inlineStr">
        <is>
          <t>苏扬燃_124.0机_Jr</t>
        </is>
      </c>
      <c r="D99" t="n">
        <v>3</v>
      </c>
      <c r="E99" t="inlineStr">
        <is>
          <t>93043200000000</t>
        </is>
      </c>
      <c r="F99" t="n">
        <v>475</v>
      </c>
      <c r="G99" t="n">
        <v>356.25</v>
      </c>
      <c r="H99" t="n">
        <v>8</v>
      </c>
      <c r="I99" t="n">
        <v>8</v>
      </c>
      <c r="J99" t="n">
        <v>570</v>
      </c>
      <c r="K99" t="n">
        <v>570</v>
      </c>
      <c r="L99" t="n">
        <v>5e-06</v>
      </c>
      <c r="M99" t="n">
        <v>0.01</v>
      </c>
      <c r="N99" t="n">
        <v>0.5</v>
      </c>
      <c r="O99" t="n">
        <v>8</v>
      </c>
      <c r="P99" t="n">
        <v>8</v>
      </c>
      <c r="Q99" t="n">
        <v>-475</v>
      </c>
      <c r="R99" t="n">
        <v>475</v>
      </c>
      <c r="S99" t="n">
        <v>0</v>
      </c>
      <c r="T99" t="n">
        <v>0</v>
      </c>
      <c r="U99" t="n">
        <v>0</v>
      </c>
      <c r="V99" t="n">
        <v>0</v>
      </c>
      <c r="W99" t="n">
        <v>7.4</v>
      </c>
      <c r="X99" t="n">
        <v>475</v>
      </c>
      <c r="Y99" t="n">
        <v>475</v>
      </c>
      <c r="Z99" t="n">
        <v>0.40392</v>
      </c>
      <c r="AA99" t="n">
        <v>0.04</v>
      </c>
      <c r="AB99" t="inlineStr">
        <is>
          <t>原值保留；补值为算例假设，见字段说明</t>
        </is>
      </c>
      <c r="AC99" t="n">
        <v>8</v>
      </c>
    </row>
    <row r="100" ht="34" customHeight="1">
      <c r="A100" t="inlineStr">
        <is>
          <t>GAS_0099</t>
        </is>
      </c>
      <c r="B100" t="inlineStr">
        <is>
          <t>930632000000000000</t>
        </is>
      </c>
      <c r="C100" t="inlineStr">
        <is>
          <t>苏扬燃_224.0机_Jr</t>
        </is>
      </c>
      <c r="D100" t="n">
        <v>3</v>
      </c>
      <c r="E100" t="inlineStr">
        <is>
          <t>93043200000000</t>
        </is>
      </c>
      <c r="F100" t="n">
        <v>475</v>
      </c>
      <c r="G100" t="n">
        <v>356.25</v>
      </c>
      <c r="H100" t="n">
        <v>8</v>
      </c>
      <c r="I100" t="n">
        <v>8</v>
      </c>
      <c r="J100" t="n">
        <v>570</v>
      </c>
      <c r="K100" t="n">
        <v>570</v>
      </c>
      <c r="L100" t="n">
        <v>5e-06</v>
      </c>
      <c r="M100" t="n">
        <v>0.01</v>
      </c>
      <c r="N100" t="n">
        <v>0.5</v>
      </c>
      <c r="O100" t="n">
        <v>8</v>
      </c>
      <c r="P100" t="n">
        <v>8</v>
      </c>
      <c r="Q100" t="n">
        <v>-475</v>
      </c>
      <c r="R100" t="n">
        <v>475</v>
      </c>
      <c r="S100" t="n">
        <v>0</v>
      </c>
      <c r="T100" t="n">
        <v>0</v>
      </c>
      <c r="U100" t="n">
        <v>0</v>
      </c>
      <c r="V100" t="n">
        <v>0</v>
      </c>
      <c r="W100" t="n">
        <v>7.4</v>
      </c>
      <c r="X100" t="n">
        <v>475</v>
      </c>
      <c r="Y100" t="n">
        <v>475</v>
      </c>
      <c r="Z100" t="n">
        <v>0.40392</v>
      </c>
      <c r="AA100" t="n">
        <v>0.04</v>
      </c>
      <c r="AB100" t="inlineStr">
        <is>
          <t>原值保留；补值为算例假设，见字段说明</t>
        </is>
      </c>
      <c r="AC100" t="n">
        <v>8</v>
      </c>
    </row>
    <row r="101" ht="34" customHeight="1">
      <c r="A101" t="inlineStr">
        <is>
          <t>GAS_0100</t>
        </is>
      </c>
      <c r="B101" t="inlineStr">
        <is>
          <t>930632000000000000</t>
        </is>
      </c>
      <c r="C101" t="inlineStr">
        <is>
          <t>苏姜燃_410.5机_Jr</t>
        </is>
      </c>
      <c r="D101" t="n">
        <v>3</v>
      </c>
      <c r="E101" t="inlineStr">
        <is>
          <t>93043200000000</t>
        </is>
      </c>
      <c r="F101" t="n">
        <v>50</v>
      </c>
      <c r="G101" t="n">
        <v>39</v>
      </c>
      <c r="H101" t="n">
        <v>168</v>
      </c>
      <c r="I101" t="n">
        <v>96</v>
      </c>
      <c r="J101" t="n">
        <v>60</v>
      </c>
      <c r="K101" t="n">
        <v>60</v>
      </c>
      <c r="L101" t="n">
        <v>8e-06</v>
      </c>
      <c r="M101" t="n">
        <v>0.012</v>
      </c>
      <c r="N101" t="n">
        <v>0.3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7.4</v>
      </c>
      <c r="X101" t="n">
        <v>50</v>
      </c>
      <c r="Y101" t="n">
        <v>50</v>
      </c>
      <c r="Z101" t="n">
        <v>0.40392</v>
      </c>
      <c r="AA101" t="n">
        <v>0.04</v>
      </c>
      <c r="AB101" t="inlineStr">
        <is>
          <t>原值保留；补值为算例假设，见字段说明</t>
        </is>
      </c>
      <c r="AC101" t="n">
        <v>168</v>
      </c>
    </row>
    <row r="102" ht="34" customHeight="1">
      <c r="A102" t="inlineStr">
        <is>
          <t>GAS_0101</t>
        </is>
      </c>
      <c r="B102" t="inlineStr">
        <is>
          <t>930632000000000000</t>
        </is>
      </c>
      <c r="C102" t="inlineStr">
        <is>
          <t>苏姜燃_313.8机_Jr</t>
        </is>
      </c>
      <c r="D102" t="n">
        <v>3</v>
      </c>
      <c r="E102" t="inlineStr">
        <is>
          <t>93043200000000</t>
        </is>
      </c>
      <c r="F102" t="n">
        <v>130</v>
      </c>
      <c r="G102" t="n">
        <v>101.4</v>
      </c>
      <c r="H102" t="n">
        <v>168</v>
      </c>
      <c r="I102" t="n">
        <v>96</v>
      </c>
      <c r="J102" t="n">
        <v>156</v>
      </c>
      <c r="K102" t="n">
        <v>156</v>
      </c>
      <c r="L102" t="n">
        <v>8e-06</v>
      </c>
      <c r="M102" t="n">
        <v>0.012</v>
      </c>
      <c r="N102" t="n">
        <v>0.3</v>
      </c>
      <c r="O102" t="n">
        <v>3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7.4</v>
      </c>
      <c r="X102" t="n">
        <v>130</v>
      </c>
      <c r="Y102" t="n">
        <v>130</v>
      </c>
      <c r="Z102" t="n">
        <v>0.40392</v>
      </c>
      <c r="AA102" t="n">
        <v>0.04</v>
      </c>
      <c r="AB102" t="inlineStr">
        <is>
          <t>原值保留；补值为算例假设，见字段说明</t>
        </is>
      </c>
      <c r="AC102" t="n">
        <v>168</v>
      </c>
    </row>
    <row r="103" ht="34" customHeight="1">
      <c r="A103" t="inlineStr">
        <is>
          <t>GAS_0102</t>
        </is>
      </c>
      <c r="B103" t="inlineStr">
        <is>
          <t>930632000000000000</t>
        </is>
      </c>
      <c r="C103" t="inlineStr">
        <is>
          <t>苏姜燃_210.5机_Jr</t>
        </is>
      </c>
      <c r="D103" t="n">
        <v>3</v>
      </c>
      <c r="E103" t="inlineStr">
        <is>
          <t>93043200000000</t>
        </is>
      </c>
      <c r="F103" t="n">
        <v>50</v>
      </c>
      <c r="G103" t="n">
        <v>39</v>
      </c>
      <c r="H103" t="n">
        <v>168</v>
      </c>
      <c r="I103" t="n">
        <v>96</v>
      </c>
      <c r="J103" t="n">
        <v>60</v>
      </c>
      <c r="K103" t="n">
        <v>60</v>
      </c>
      <c r="L103" t="n">
        <v>8e-06</v>
      </c>
      <c r="M103" t="n">
        <v>0.012</v>
      </c>
      <c r="N103" t="n">
        <v>0.3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7.4</v>
      </c>
      <c r="X103" t="n">
        <v>50</v>
      </c>
      <c r="Y103" t="n">
        <v>50</v>
      </c>
      <c r="Z103" t="n">
        <v>0.40392</v>
      </c>
      <c r="AA103" t="n">
        <v>0.04</v>
      </c>
      <c r="AB103" t="inlineStr">
        <is>
          <t>原值保留；补值为算例假设，见字段说明</t>
        </is>
      </c>
      <c r="AC103" t="n">
        <v>168</v>
      </c>
    </row>
    <row r="104" ht="34" customHeight="1">
      <c r="A104" t="inlineStr">
        <is>
          <t>GAS_0103</t>
        </is>
      </c>
      <c r="B104" t="inlineStr">
        <is>
          <t>930632000000000000</t>
        </is>
      </c>
      <c r="C104" t="inlineStr">
        <is>
          <t>苏姜燃_113.8机_Jr</t>
        </is>
      </c>
      <c r="D104" t="n">
        <v>3</v>
      </c>
      <c r="E104" t="inlineStr">
        <is>
          <t>93043200000000</t>
        </is>
      </c>
      <c r="F104" t="n">
        <v>130</v>
      </c>
      <c r="G104" t="n">
        <v>101.4</v>
      </c>
      <c r="H104" t="n">
        <v>168</v>
      </c>
      <c r="I104" t="n">
        <v>96</v>
      </c>
      <c r="J104" t="n">
        <v>156</v>
      </c>
      <c r="K104" t="n">
        <v>156</v>
      </c>
      <c r="L104" t="n">
        <v>8e-06</v>
      </c>
      <c r="M104" t="n">
        <v>0.012</v>
      </c>
      <c r="N104" t="n">
        <v>0.3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7.4</v>
      </c>
      <c r="X104" t="n">
        <v>130</v>
      </c>
      <c r="Y104" t="n">
        <v>130</v>
      </c>
      <c r="Z104" t="n">
        <v>0.40392</v>
      </c>
      <c r="AA104" t="n">
        <v>0.04</v>
      </c>
      <c r="AB104" t="inlineStr">
        <is>
          <t>原值保留；补值为算例假设，见字段说明</t>
        </is>
      </c>
      <c r="AC104" t="n">
        <v>168</v>
      </c>
    </row>
    <row r="105" ht="34" customHeight="1">
      <c r="A105" t="inlineStr">
        <is>
          <t>GAS_0104</t>
        </is>
      </c>
      <c r="B105" t="inlineStr">
        <is>
          <t>930632000000000000</t>
        </is>
      </c>
      <c r="C105" t="inlineStr">
        <is>
          <t>苏淮燃_410.5机_Jr</t>
        </is>
      </c>
      <c r="D105" t="n">
        <v>4</v>
      </c>
      <c r="E105" t="inlineStr">
        <is>
          <t>93043200000000</t>
        </is>
      </c>
      <c r="F105" t="n">
        <v>50</v>
      </c>
      <c r="G105" t="n">
        <v>39</v>
      </c>
      <c r="H105" t="n">
        <v>168</v>
      </c>
      <c r="I105" t="n">
        <v>96</v>
      </c>
      <c r="J105" t="n">
        <v>60</v>
      </c>
      <c r="K105" t="n">
        <v>60</v>
      </c>
      <c r="L105" t="n">
        <v>8e-06</v>
      </c>
      <c r="M105" t="n">
        <v>0.012</v>
      </c>
      <c r="N105" t="n">
        <v>0.3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7.4</v>
      </c>
      <c r="X105" t="n">
        <v>50</v>
      </c>
      <c r="Y105" t="n">
        <v>50</v>
      </c>
      <c r="Z105" t="n">
        <v>0.40392</v>
      </c>
      <c r="AA105" t="n">
        <v>0.04</v>
      </c>
      <c r="AB105" t="inlineStr">
        <is>
          <t>原值保留；补值为算例假设，见字段说明</t>
        </is>
      </c>
      <c r="AC105" t="n">
        <v>168</v>
      </c>
    </row>
    <row r="106" ht="34" customHeight="1">
      <c r="A106" t="inlineStr">
        <is>
          <t>GAS_0105</t>
        </is>
      </c>
      <c r="B106" t="inlineStr">
        <is>
          <t>930632000000000000</t>
        </is>
      </c>
      <c r="C106" t="inlineStr">
        <is>
          <t>苏淮燃_313.8机_Jr</t>
        </is>
      </c>
      <c r="D106" t="n">
        <v>4</v>
      </c>
      <c r="E106" t="inlineStr">
        <is>
          <t>93043200000000</t>
        </is>
      </c>
      <c r="F106" t="n">
        <v>130</v>
      </c>
      <c r="G106" t="n">
        <v>101.4</v>
      </c>
      <c r="H106" t="n">
        <v>168</v>
      </c>
      <c r="I106" t="n">
        <v>96</v>
      </c>
      <c r="J106" t="n">
        <v>156</v>
      </c>
      <c r="K106" t="n">
        <v>156</v>
      </c>
      <c r="L106" t="n">
        <v>8e-06</v>
      </c>
      <c r="M106" t="n">
        <v>0.012</v>
      </c>
      <c r="N106" t="n">
        <v>0.3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7.4</v>
      </c>
      <c r="X106" t="n">
        <v>130</v>
      </c>
      <c r="Y106" t="n">
        <v>130</v>
      </c>
      <c r="Z106" t="n">
        <v>0.40392</v>
      </c>
      <c r="AA106" t="n">
        <v>0.04</v>
      </c>
      <c r="AB106" t="inlineStr">
        <is>
          <t>原值保留；补值为算例假设，见字段说明</t>
        </is>
      </c>
      <c r="AC106" t="n">
        <v>168</v>
      </c>
    </row>
    <row r="107" ht="34" customHeight="1">
      <c r="A107" t="inlineStr">
        <is>
          <t>GAS_0106</t>
        </is>
      </c>
      <c r="B107" t="inlineStr">
        <is>
          <t>930632000000000000</t>
        </is>
      </c>
      <c r="C107" t="inlineStr">
        <is>
          <t>苏淮燃_210.5机_Jr</t>
        </is>
      </c>
      <c r="D107" t="n">
        <v>4</v>
      </c>
      <c r="E107" t="inlineStr">
        <is>
          <t>93043200000000</t>
        </is>
      </c>
      <c r="F107" t="n">
        <v>50</v>
      </c>
      <c r="G107" t="n">
        <v>39</v>
      </c>
      <c r="H107" t="n">
        <v>168</v>
      </c>
      <c r="I107" t="n">
        <v>96</v>
      </c>
      <c r="J107" t="n">
        <v>60</v>
      </c>
      <c r="K107" t="n">
        <v>60</v>
      </c>
      <c r="L107" t="n">
        <v>8e-06</v>
      </c>
      <c r="M107" t="n">
        <v>0.012</v>
      </c>
      <c r="N107" t="n">
        <v>0.3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7.4</v>
      </c>
      <c r="X107" t="n">
        <v>50</v>
      </c>
      <c r="Y107" t="n">
        <v>50</v>
      </c>
      <c r="Z107" t="n">
        <v>0.40392</v>
      </c>
      <c r="AA107" t="n">
        <v>0.04</v>
      </c>
      <c r="AB107" t="inlineStr">
        <is>
          <t>原值保留；补值为算例假设，见字段说明</t>
        </is>
      </c>
      <c r="AC107" t="n">
        <v>168</v>
      </c>
    </row>
    <row r="108" ht="34" customHeight="1">
      <c r="A108" t="inlineStr">
        <is>
          <t>GAS_0107</t>
        </is>
      </c>
      <c r="B108" t="inlineStr">
        <is>
          <t>930632000000000000</t>
        </is>
      </c>
      <c r="C108" t="inlineStr">
        <is>
          <t>苏淮燃_113.8机_Jr</t>
        </is>
      </c>
      <c r="D108" t="n">
        <v>4</v>
      </c>
      <c r="E108" t="inlineStr">
        <is>
          <t>93043200000000</t>
        </is>
      </c>
      <c r="F108" t="n">
        <v>130</v>
      </c>
      <c r="G108" t="n">
        <v>101.4</v>
      </c>
      <c r="H108" t="n">
        <v>168</v>
      </c>
      <c r="I108" t="n">
        <v>96</v>
      </c>
      <c r="J108" t="n">
        <v>156</v>
      </c>
      <c r="K108" t="n">
        <v>156</v>
      </c>
      <c r="L108" t="n">
        <v>8e-06</v>
      </c>
      <c r="M108" t="n">
        <v>0.012</v>
      </c>
      <c r="N108" t="n">
        <v>0.3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7.4</v>
      </c>
      <c r="X108" t="n">
        <v>130</v>
      </c>
      <c r="Y108" t="n">
        <v>130</v>
      </c>
      <c r="Z108" t="n">
        <v>0.40392</v>
      </c>
      <c r="AA108" t="n">
        <v>0.04</v>
      </c>
      <c r="AB108" t="inlineStr">
        <is>
          <t>原值保留；补值为算例假设，见字段说明</t>
        </is>
      </c>
      <c r="AC108" t="n">
        <v>168</v>
      </c>
    </row>
    <row r="109" ht="34" customHeight="1">
      <c r="A109" t="inlineStr">
        <is>
          <t>GAS_0108</t>
        </is>
      </c>
      <c r="B109" t="inlineStr">
        <is>
          <t>930632000000000000</t>
        </is>
      </c>
      <c r="C109" t="inlineStr">
        <is>
          <t>苏安燃_219.0机_Jr</t>
        </is>
      </c>
      <c r="D109" t="n">
        <v>4</v>
      </c>
      <c r="E109" t="inlineStr">
        <is>
          <t>93043200000000</t>
        </is>
      </c>
      <c r="F109" t="n">
        <v>460</v>
      </c>
      <c r="G109" t="n">
        <v>358.8</v>
      </c>
      <c r="H109" t="n">
        <v>168</v>
      </c>
      <c r="I109" t="n">
        <v>96</v>
      </c>
      <c r="J109" t="n">
        <v>552</v>
      </c>
      <c r="K109" t="n">
        <v>552</v>
      </c>
      <c r="L109" t="n">
        <v>5e-06</v>
      </c>
      <c r="M109" t="n">
        <v>0.01</v>
      </c>
      <c r="N109" t="n">
        <v>0.5</v>
      </c>
      <c r="O109" t="n">
        <v>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7.4</v>
      </c>
      <c r="X109" t="n">
        <v>460</v>
      </c>
      <c r="Y109" t="n">
        <v>460</v>
      </c>
      <c r="Z109" t="n">
        <v>0.40392</v>
      </c>
      <c r="AA109" t="n">
        <v>0.04</v>
      </c>
      <c r="AB109" t="inlineStr">
        <is>
          <t>原值保留；补值为算例假设，见字段说明</t>
        </is>
      </c>
      <c r="AC109" t="n">
        <v>168</v>
      </c>
    </row>
    <row r="110" ht="34" customHeight="1">
      <c r="A110" t="inlineStr">
        <is>
          <t>GAS_0109</t>
        </is>
      </c>
      <c r="B110" t="inlineStr">
        <is>
          <t>930632000000000000</t>
        </is>
      </c>
      <c r="C110" t="inlineStr">
        <is>
          <t>苏安燃_119.0机_Jr</t>
        </is>
      </c>
      <c r="D110" t="n">
        <v>4</v>
      </c>
      <c r="E110" t="inlineStr">
        <is>
          <t>93043200000000</t>
        </is>
      </c>
      <c r="F110" t="n">
        <v>460</v>
      </c>
      <c r="G110" t="n">
        <v>358.8</v>
      </c>
      <c r="H110" t="n">
        <v>168</v>
      </c>
      <c r="I110" t="n">
        <v>96</v>
      </c>
      <c r="J110" t="n">
        <v>552</v>
      </c>
      <c r="K110" t="n">
        <v>552</v>
      </c>
      <c r="L110" t="n">
        <v>5e-06</v>
      </c>
      <c r="M110" t="n">
        <v>0.01</v>
      </c>
      <c r="N110" t="n">
        <v>0.5</v>
      </c>
      <c r="O110" t="n">
        <v>8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7.4</v>
      </c>
      <c r="X110" t="n">
        <v>460</v>
      </c>
      <c r="Y110" t="n">
        <v>460</v>
      </c>
      <c r="Z110" t="n">
        <v>0.40392</v>
      </c>
      <c r="AA110" t="n">
        <v>0.04</v>
      </c>
      <c r="AB110" t="inlineStr">
        <is>
          <t>原值保留；补值为算例假设，见字段说明</t>
        </is>
      </c>
      <c r="AC110" t="n">
        <v>168</v>
      </c>
    </row>
    <row r="111" ht="34" customHeight="1">
      <c r="A111" t="inlineStr">
        <is>
          <t>GAS_0110</t>
        </is>
      </c>
      <c r="B111" t="inlineStr">
        <is>
          <t>930632000000000000</t>
        </is>
      </c>
      <c r="C111" t="inlineStr">
        <is>
          <t>苏虹洋Y910.5机_Jr</t>
        </is>
      </c>
      <c r="D111" t="n">
        <v>5</v>
      </c>
      <c r="E111" t="inlineStr">
        <is>
          <t>93043200000000</t>
        </is>
      </c>
      <c r="F111" t="n">
        <v>60</v>
      </c>
      <c r="G111" t="n">
        <v>46.8</v>
      </c>
      <c r="H111" t="n">
        <v>168</v>
      </c>
      <c r="I111" t="n">
        <v>96</v>
      </c>
      <c r="J111" t="n">
        <v>72</v>
      </c>
      <c r="K111" t="n">
        <v>72</v>
      </c>
      <c r="L111" t="n">
        <v>8e-06</v>
      </c>
      <c r="M111" t="n">
        <v>0.012</v>
      </c>
      <c r="N111" t="n">
        <v>0.3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7.4</v>
      </c>
      <c r="X111" t="n">
        <v>60</v>
      </c>
      <c r="Y111" t="n">
        <v>60</v>
      </c>
      <c r="Z111" t="n">
        <v>0.40392</v>
      </c>
      <c r="AA111" t="n">
        <v>0.04</v>
      </c>
      <c r="AB111" t="inlineStr">
        <is>
          <t>原值保留；补值为算例假设，见字段说明</t>
        </is>
      </c>
      <c r="AC111" t="n">
        <v>168</v>
      </c>
    </row>
    <row r="112" ht="34" customHeight="1">
      <c r="A112" t="inlineStr">
        <is>
          <t>GAS_0111</t>
        </is>
      </c>
      <c r="B112" t="inlineStr">
        <is>
          <t>930632000000000000</t>
        </is>
      </c>
      <c r="C112" t="inlineStr">
        <is>
          <t>苏虹洋Y810.5机_Jr</t>
        </is>
      </c>
      <c r="D112" t="n">
        <v>5</v>
      </c>
      <c r="E112" t="inlineStr">
        <is>
          <t>93043200000000</t>
        </is>
      </c>
      <c r="F112" t="n">
        <v>60</v>
      </c>
      <c r="G112" t="n">
        <v>46.8</v>
      </c>
      <c r="H112" t="n">
        <v>168</v>
      </c>
      <c r="I112" t="n">
        <v>96</v>
      </c>
      <c r="J112" t="n">
        <v>72</v>
      </c>
      <c r="K112" t="n">
        <v>72</v>
      </c>
      <c r="L112" t="n">
        <v>8e-06</v>
      </c>
      <c r="M112" t="n">
        <v>0.012</v>
      </c>
      <c r="N112" t="n">
        <v>0.3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7.4</v>
      </c>
      <c r="X112" t="n">
        <v>60</v>
      </c>
      <c r="Y112" t="n">
        <v>60</v>
      </c>
      <c r="Z112" t="n">
        <v>0.40392</v>
      </c>
      <c r="AA112" t="n">
        <v>0.04</v>
      </c>
      <c r="AB112" t="inlineStr">
        <is>
          <t>原值保留；补值为算例假设，见字段说明</t>
        </is>
      </c>
      <c r="AC112" t="n">
        <v>168</v>
      </c>
    </row>
    <row r="113" ht="34" customHeight="1">
      <c r="A113" t="inlineStr">
        <is>
          <t>GAS_0112</t>
        </is>
      </c>
      <c r="B113" t="inlineStr">
        <is>
          <t>930632000000000000</t>
        </is>
      </c>
      <c r="C113" t="inlineStr">
        <is>
          <t>苏虹洋Y710.5机_Jr</t>
        </is>
      </c>
      <c r="D113" t="n">
        <v>5</v>
      </c>
      <c r="E113" t="inlineStr">
        <is>
          <t>93043200000000</t>
        </is>
      </c>
      <c r="F113" t="n">
        <v>60</v>
      </c>
      <c r="G113" t="n">
        <v>46.8</v>
      </c>
      <c r="H113" t="n">
        <v>168</v>
      </c>
      <c r="I113" t="n">
        <v>96</v>
      </c>
      <c r="J113" t="n">
        <v>72</v>
      </c>
      <c r="K113" t="n">
        <v>72</v>
      </c>
      <c r="L113" t="n">
        <v>8e-06</v>
      </c>
      <c r="M113" t="n">
        <v>0.012</v>
      </c>
      <c r="N113" t="n">
        <v>0.3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7.4</v>
      </c>
      <c r="X113" t="n">
        <v>60</v>
      </c>
      <c r="Y113" t="n">
        <v>60</v>
      </c>
      <c r="Z113" t="n">
        <v>0.40392</v>
      </c>
      <c r="AA113" t="n">
        <v>0.04</v>
      </c>
      <c r="AB113" t="inlineStr">
        <is>
          <t>原值保留；补值为算例假设，见字段说明</t>
        </is>
      </c>
      <c r="AC113" t="n">
        <v>168</v>
      </c>
    </row>
    <row r="114" ht="34" customHeight="1">
      <c r="A114" t="inlineStr">
        <is>
          <t>GAS_0113</t>
        </is>
      </c>
      <c r="B114" t="inlineStr">
        <is>
          <t>930632000000000000</t>
        </is>
      </c>
      <c r="C114" t="inlineStr">
        <is>
          <t>苏虹洋Y610.5机_Jr</t>
        </is>
      </c>
      <c r="D114" t="n">
        <v>5</v>
      </c>
      <c r="E114" t="inlineStr">
        <is>
          <t>93043200000000</t>
        </is>
      </c>
      <c r="F114" t="n">
        <v>60</v>
      </c>
      <c r="G114" t="n">
        <v>46.8</v>
      </c>
      <c r="H114" t="n">
        <v>168</v>
      </c>
      <c r="I114" t="n">
        <v>96</v>
      </c>
      <c r="J114" t="n">
        <v>72</v>
      </c>
      <c r="K114" t="n">
        <v>72</v>
      </c>
      <c r="L114" t="n">
        <v>8e-06</v>
      </c>
      <c r="M114" t="n">
        <v>0.012</v>
      </c>
      <c r="N114" t="n">
        <v>0.3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7.4</v>
      </c>
      <c r="X114" t="n">
        <v>60</v>
      </c>
      <c r="Y114" t="n">
        <v>60</v>
      </c>
      <c r="Z114" t="n">
        <v>0.40392</v>
      </c>
      <c r="AA114" t="n">
        <v>0.04</v>
      </c>
      <c r="AB114" t="inlineStr">
        <is>
          <t>原值保留；补值为算例假设，见字段说明</t>
        </is>
      </c>
      <c r="AC114" t="n">
        <v>168</v>
      </c>
    </row>
    <row r="115" ht="34" customHeight="1">
      <c r="A115" t="inlineStr">
        <is>
          <t>GAS_0114</t>
        </is>
      </c>
      <c r="B115" t="inlineStr">
        <is>
          <t>930632000000000000</t>
        </is>
      </c>
      <c r="C115" t="inlineStr">
        <is>
          <t>苏虹洋Y510.5机_Jr</t>
        </is>
      </c>
      <c r="D115" t="n">
        <v>5</v>
      </c>
      <c r="E115" t="inlineStr">
        <is>
          <t>93043200000000</t>
        </is>
      </c>
      <c r="F115" t="n">
        <v>35</v>
      </c>
      <c r="G115" t="n">
        <v>27.3</v>
      </c>
      <c r="H115" t="n">
        <v>168</v>
      </c>
      <c r="I115" t="n">
        <v>96</v>
      </c>
      <c r="J115" t="n">
        <v>42</v>
      </c>
      <c r="K115" t="n">
        <v>42</v>
      </c>
      <c r="L115" t="n">
        <v>8e-06</v>
      </c>
      <c r="M115" t="n">
        <v>0.012</v>
      </c>
      <c r="N115" t="n">
        <v>0.3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7.4</v>
      </c>
      <c r="X115" t="n">
        <v>35</v>
      </c>
      <c r="Y115" t="n">
        <v>35</v>
      </c>
      <c r="Z115" t="n">
        <v>0.40392</v>
      </c>
      <c r="AA115" t="n">
        <v>0.04</v>
      </c>
      <c r="AB115" t="inlineStr">
        <is>
          <t>原值保留；补值为算例假设，见字段说明</t>
        </is>
      </c>
      <c r="AC115" t="n">
        <v>168</v>
      </c>
    </row>
    <row r="116" ht="34" customHeight="1">
      <c r="A116" t="inlineStr">
        <is>
          <t>GAS_0115</t>
        </is>
      </c>
      <c r="B116" t="inlineStr">
        <is>
          <t>930632000000000000</t>
        </is>
      </c>
      <c r="C116" t="inlineStr">
        <is>
          <t>苏虹洋Y410.5机_Jr</t>
        </is>
      </c>
      <c r="D116" t="n">
        <v>5</v>
      </c>
      <c r="E116" t="inlineStr">
        <is>
          <t>93043200000000</t>
        </is>
      </c>
      <c r="F116" t="n">
        <v>35</v>
      </c>
      <c r="G116" t="n">
        <v>27.3</v>
      </c>
      <c r="H116" t="n">
        <v>168</v>
      </c>
      <c r="I116" t="n">
        <v>96</v>
      </c>
      <c r="J116" t="n">
        <v>42</v>
      </c>
      <c r="K116" t="n">
        <v>42</v>
      </c>
      <c r="L116" t="n">
        <v>8e-06</v>
      </c>
      <c r="M116" t="n">
        <v>0.012</v>
      </c>
      <c r="N116" t="n">
        <v>0.3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7.4</v>
      </c>
      <c r="X116" t="n">
        <v>35</v>
      </c>
      <c r="Y116" t="n">
        <v>35</v>
      </c>
      <c r="Z116" t="n">
        <v>0.40392</v>
      </c>
      <c r="AA116" t="n">
        <v>0.04</v>
      </c>
      <c r="AB116" t="inlineStr">
        <is>
          <t>原值保留；补值为算例假设，见字段说明</t>
        </is>
      </c>
      <c r="AC116" t="n">
        <v>168</v>
      </c>
    </row>
    <row r="117" ht="34" customHeight="1">
      <c r="A117" t="inlineStr">
        <is>
          <t>GAS_0116</t>
        </is>
      </c>
      <c r="B117" t="inlineStr">
        <is>
          <t>930632000000000000</t>
        </is>
      </c>
      <c r="C117" t="inlineStr">
        <is>
          <t>苏虹洋Y310.5机_Jr</t>
        </is>
      </c>
      <c r="D117" t="n">
        <v>5</v>
      </c>
      <c r="E117" t="inlineStr">
        <is>
          <t>93043200000000</t>
        </is>
      </c>
      <c r="F117" t="n">
        <v>35</v>
      </c>
      <c r="G117" t="n">
        <v>27.3</v>
      </c>
      <c r="H117" t="n">
        <v>168</v>
      </c>
      <c r="I117" t="n">
        <v>96</v>
      </c>
      <c r="J117" t="n">
        <v>42</v>
      </c>
      <c r="K117" t="n">
        <v>42</v>
      </c>
      <c r="L117" t="n">
        <v>8e-06</v>
      </c>
      <c r="M117" t="n">
        <v>0.012</v>
      </c>
      <c r="N117" t="n">
        <v>0.3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7.4</v>
      </c>
      <c r="X117" t="n">
        <v>35</v>
      </c>
      <c r="Y117" t="n">
        <v>35</v>
      </c>
      <c r="Z117" t="n">
        <v>0.40392</v>
      </c>
      <c r="AA117" t="n">
        <v>0.04</v>
      </c>
      <c r="AB117" t="inlineStr">
        <is>
          <t>原值保留；补值为算例假设，见字段说明</t>
        </is>
      </c>
      <c r="AC117" t="n">
        <v>168</v>
      </c>
    </row>
    <row r="118" ht="34" customHeight="1">
      <c r="A118" t="inlineStr">
        <is>
          <t>GAS_0117</t>
        </is>
      </c>
      <c r="B118" t="inlineStr">
        <is>
          <t>930632000000000000</t>
        </is>
      </c>
      <c r="C118" t="inlineStr">
        <is>
          <t>苏虹洋Y210.5机_Jr</t>
        </is>
      </c>
      <c r="D118" t="n">
        <v>5</v>
      </c>
      <c r="E118" t="inlineStr">
        <is>
          <t>93043200000000</t>
        </is>
      </c>
      <c r="F118" t="n">
        <v>35</v>
      </c>
      <c r="G118" t="n">
        <v>27.3</v>
      </c>
      <c r="H118" t="n">
        <v>168</v>
      </c>
      <c r="I118" t="n">
        <v>96</v>
      </c>
      <c r="J118" t="n">
        <v>42</v>
      </c>
      <c r="K118" t="n">
        <v>42</v>
      </c>
      <c r="L118" t="n">
        <v>8e-06</v>
      </c>
      <c r="M118" t="n">
        <v>0.012</v>
      </c>
      <c r="N118" t="n">
        <v>0.3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7.4</v>
      </c>
      <c r="X118" t="n">
        <v>35</v>
      </c>
      <c r="Y118" t="n">
        <v>35</v>
      </c>
      <c r="Z118" t="n">
        <v>0.40392</v>
      </c>
      <c r="AA118" t="n">
        <v>0.04</v>
      </c>
      <c r="AB118" t="inlineStr">
        <is>
          <t>原值保留；补值为算例假设，见字段说明</t>
        </is>
      </c>
      <c r="AC118" t="n">
        <v>168</v>
      </c>
    </row>
    <row r="119" ht="34" customHeight="1">
      <c r="A119" t="inlineStr">
        <is>
          <t>GAS_0118</t>
        </is>
      </c>
      <c r="B119" t="inlineStr">
        <is>
          <t>930632000000000000</t>
        </is>
      </c>
      <c r="C119" t="inlineStr">
        <is>
          <t>苏虹洋Y110.5机_Jr</t>
        </is>
      </c>
      <c r="D119" t="n">
        <v>5</v>
      </c>
      <c r="E119" t="inlineStr">
        <is>
          <t>93043200000000</t>
        </is>
      </c>
      <c r="F119" t="n">
        <v>35</v>
      </c>
      <c r="G119" t="n">
        <v>27.3</v>
      </c>
      <c r="H119" t="n">
        <v>168</v>
      </c>
      <c r="I119" t="n">
        <v>96</v>
      </c>
      <c r="J119" t="n">
        <v>42</v>
      </c>
      <c r="K119" t="n">
        <v>42</v>
      </c>
      <c r="L119" t="n">
        <v>8e-06</v>
      </c>
      <c r="M119" t="n">
        <v>0.012</v>
      </c>
      <c r="N119" t="n">
        <v>0.3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7.4</v>
      </c>
      <c r="X119" t="n">
        <v>35</v>
      </c>
      <c r="Y119" t="n">
        <v>35</v>
      </c>
      <c r="Z119" t="n">
        <v>0.40392</v>
      </c>
      <c r="AA119" t="n">
        <v>0.04</v>
      </c>
      <c r="AB119" t="inlineStr">
        <is>
          <t>原值保留；补值为算例假设，见字段说明</t>
        </is>
      </c>
      <c r="AC119" t="n">
        <v>168</v>
      </c>
    </row>
    <row r="120" ht="34" customHeight="1">
      <c r="A120" t="inlineStr">
        <is>
          <t>GAS_0119</t>
        </is>
      </c>
      <c r="B120" t="inlineStr">
        <is>
          <t>930632000000000000</t>
        </is>
      </c>
      <c r="C120" t="inlineStr">
        <is>
          <t>苏阜燃G213.8机_Jr</t>
        </is>
      </c>
      <c r="D120" t="n">
        <v>5</v>
      </c>
      <c r="E120" t="inlineStr">
        <is>
          <t>93043200000000</t>
        </is>
      </c>
      <c r="F120" t="n">
        <v>120</v>
      </c>
      <c r="G120" t="n">
        <v>93.59999999999999</v>
      </c>
      <c r="H120" t="n">
        <v>168</v>
      </c>
      <c r="I120" t="n">
        <v>96</v>
      </c>
      <c r="J120" t="n">
        <v>144</v>
      </c>
      <c r="K120" t="n">
        <v>144</v>
      </c>
      <c r="L120" t="n">
        <v>8e-06</v>
      </c>
      <c r="M120" t="n">
        <v>0.012</v>
      </c>
      <c r="N120" t="n">
        <v>0.3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7.4</v>
      </c>
      <c r="X120" t="n">
        <v>120</v>
      </c>
      <c r="Y120" t="n">
        <v>120</v>
      </c>
      <c r="Z120" t="n">
        <v>0.40392</v>
      </c>
      <c r="AA120" t="n">
        <v>0.04</v>
      </c>
      <c r="AB120" t="inlineStr">
        <is>
          <t>原值保留；补值为算例假设，见字段说明</t>
        </is>
      </c>
      <c r="AC120" t="n">
        <v>168</v>
      </c>
    </row>
    <row r="121" ht="34" customHeight="1">
      <c r="A121" t="inlineStr">
        <is>
          <t>GAS_0120</t>
        </is>
      </c>
      <c r="B121" t="inlineStr">
        <is>
          <t>930632000000000000</t>
        </is>
      </c>
      <c r="C121" t="inlineStr">
        <is>
          <t>苏阜燃G113.8机_Jr</t>
        </is>
      </c>
      <c r="D121" t="n">
        <v>5</v>
      </c>
      <c r="E121" t="inlineStr">
        <is>
          <t>93043200000000</t>
        </is>
      </c>
      <c r="F121" t="n">
        <v>120</v>
      </c>
      <c r="G121" t="n">
        <v>93.59999999999999</v>
      </c>
      <c r="H121" t="n">
        <v>168</v>
      </c>
      <c r="I121" t="n">
        <v>96</v>
      </c>
      <c r="J121" t="n">
        <v>144</v>
      </c>
      <c r="K121" t="n">
        <v>144</v>
      </c>
      <c r="L121" t="n">
        <v>8e-06</v>
      </c>
      <c r="M121" t="n">
        <v>0.012</v>
      </c>
      <c r="N121" t="n">
        <v>0.3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7.4</v>
      </c>
      <c r="X121" t="n">
        <v>120</v>
      </c>
      <c r="Y121" t="n">
        <v>120</v>
      </c>
      <c r="Z121" t="n">
        <v>0.40392</v>
      </c>
      <c r="AA121" t="n">
        <v>0.04</v>
      </c>
      <c r="AB121" t="inlineStr">
        <is>
          <t>原值保留；补值为算例假设，见字段说明</t>
        </is>
      </c>
      <c r="AC121" t="n">
        <v>168</v>
      </c>
    </row>
    <row r="122" ht="34" customHeight="1">
      <c r="A122" t="inlineStr">
        <is>
          <t>GAS_0121</t>
        </is>
      </c>
      <c r="B122" t="inlineStr">
        <is>
          <t>930632000000000000</t>
        </is>
      </c>
      <c r="C122" t="inlineStr">
        <is>
          <t>苏华厂G218.0机_Jr</t>
        </is>
      </c>
      <c r="D122" t="n">
        <v>5</v>
      </c>
      <c r="E122" t="inlineStr">
        <is>
          <t>93043200000000</t>
        </is>
      </c>
      <c r="F122" t="n">
        <v>220</v>
      </c>
      <c r="G122" t="n">
        <v>171.6</v>
      </c>
      <c r="H122" t="n">
        <v>168</v>
      </c>
      <c r="I122" t="n">
        <v>96</v>
      </c>
      <c r="J122" t="n">
        <v>264</v>
      </c>
      <c r="K122" t="n">
        <v>264</v>
      </c>
      <c r="L122" t="n">
        <v>8e-06</v>
      </c>
      <c r="M122" t="n">
        <v>0.012</v>
      </c>
      <c r="N122" t="n">
        <v>0.3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7.4</v>
      </c>
      <c r="X122" t="n">
        <v>220</v>
      </c>
      <c r="Y122" t="n">
        <v>220</v>
      </c>
      <c r="Z122" t="n">
        <v>0.40392</v>
      </c>
      <c r="AA122" t="n">
        <v>0.04</v>
      </c>
      <c r="AB122" t="inlineStr">
        <is>
          <t>原值保留；补值为算例假设，见字段说明</t>
        </is>
      </c>
      <c r="AC122" t="n">
        <v>168</v>
      </c>
    </row>
    <row r="123" ht="34" customHeight="1">
      <c r="A123" t="inlineStr">
        <is>
          <t>GAS_0122</t>
        </is>
      </c>
      <c r="B123" t="inlineStr">
        <is>
          <t>930632000000000000</t>
        </is>
      </c>
      <c r="C123" t="inlineStr">
        <is>
          <t>苏华厂G118.0机_Jr</t>
        </is>
      </c>
      <c r="D123" t="n">
        <v>5</v>
      </c>
      <c r="E123" t="inlineStr">
        <is>
          <t>93043200000000</t>
        </is>
      </c>
      <c r="F123" t="n">
        <v>220</v>
      </c>
      <c r="G123" t="n">
        <v>171.6</v>
      </c>
      <c r="H123" t="n">
        <v>168</v>
      </c>
      <c r="I123" t="n">
        <v>96</v>
      </c>
      <c r="J123" t="n">
        <v>264</v>
      </c>
      <c r="K123" t="n">
        <v>264</v>
      </c>
      <c r="L123" t="n">
        <v>8e-06</v>
      </c>
      <c r="M123" t="n">
        <v>0.012</v>
      </c>
      <c r="N123" t="n">
        <v>0.3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7.4</v>
      </c>
      <c r="X123" t="n">
        <v>220</v>
      </c>
      <c r="Y123" t="n">
        <v>220</v>
      </c>
      <c r="Z123" t="n">
        <v>0.40392</v>
      </c>
      <c r="AA123" t="n">
        <v>0.04</v>
      </c>
      <c r="AB123" t="inlineStr">
        <is>
          <t>原值保留；补值为算例假设，见字段说明</t>
        </is>
      </c>
      <c r="AC123" t="n">
        <v>168</v>
      </c>
    </row>
    <row r="124" ht="34" customHeight="1">
      <c r="A124" t="inlineStr">
        <is>
          <t>GAS_0123</t>
        </is>
      </c>
      <c r="B124" t="inlineStr">
        <is>
          <t>930632000000000000</t>
        </is>
      </c>
      <c r="C124" t="inlineStr">
        <is>
          <t>苏华燃G124.0机_Jr</t>
        </is>
      </c>
      <c r="D124" t="n">
        <v>5</v>
      </c>
      <c r="E124" t="inlineStr">
        <is>
          <t>93043200000000</t>
        </is>
      </c>
      <c r="F124" t="n">
        <v>745</v>
      </c>
      <c r="G124" t="n">
        <v>558.75</v>
      </c>
      <c r="H124" t="n">
        <v>8</v>
      </c>
      <c r="I124" t="n">
        <v>8</v>
      </c>
      <c r="J124" t="n">
        <v>894</v>
      </c>
      <c r="K124" t="n">
        <v>894</v>
      </c>
      <c r="L124" t="n">
        <v>3e-06</v>
      </c>
      <c r="M124" t="n">
        <v>0.008</v>
      </c>
      <c r="N124" t="n">
        <v>0.8</v>
      </c>
      <c r="O124" t="n">
        <v>30</v>
      </c>
      <c r="P124" t="n">
        <v>30</v>
      </c>
      <c r="Q124" t="n">
        <v>-745</v>
      </c>
      <c r="R124" t="n">
        <v>745</v>
      </c>
      <c r="S124" t="n">
        <v>0</v>
      </c>
      <c r="T124" t="n">
        <v>0</v>
      </c>
      <c r="U124" t="n">
        <v>0</v>
      </c>
      <c r="V124" t="n">
        <v>0</v>
      </c>
      <c r="W124" t="n">
        <v>7.4</v>
      </c>
      <c r="X124" t="n">
        <v>745</v>
      </c>
      <c r="Y124" t="n">
        <v>745</v>
      </c>
      <c r="Z124" t="n">
        <v>0.40392</v>
      </c>
      <c r="AA124" t="n">
        <v>0.04</v>
      </c>
      <c r="AB124" t="inlineStr">
        <is>
          <t>原值保留；补值为算例假设，见字段说明</t>
        </is>
      </c>
      <c r="AC124" t="n">
        <v>8</v>
      </c>
    </row>
    <row r="125" ht="34" customHeight="1">
      <c r="A125" t="inlineStr">
        <is>
          <t>GAS_0124</t>
        </is>
      </c>
      <c r="B125" t="inlineStr">
        <is>
          <t>930632000000000000</t>
        </is>
      </c>
      <c r="C125" t="inlineStr">
        <is>
          <t>苏华燃G224.0机_Jr</t>
        </is>
      </c>
      <c r="D125" t="n">
        <v>5</v>
      </c>
      <c r="E125" t="inlineStr">
        <is>
          <t>93043200000000</t>
        </is>
      </c>
      <c r="F125" t="n">
        <v>745</v>
      </c>
      <c r="G125" t="n">
        <v>558.75</v>
      </c>
      <c r="H125" t="n">
        <v>8</v>
      </c>
      <c r="I125" t="n">
        <v>8</v>
      </c>
      <c r="J125" t="n">
        <v>894</v>
      </c>
      <c r="K125" t="n">
        <v>894</v>
      </c>
      <c r="L125" t="n">
        <v>3e-06</v>
      </c>
      <c r="M125" t="n">
        <v>0.008</v>
      </c>
      <c r="N125" t="n">
        <v>0.8</v>
      </c>
      <c r="O125" t="n">
        <v>30</v>
      </c>
      <c r="P125" t="n">
        <v>30</v>
      </c>
      <c r="Q125" t="n">
        <v>-745</v>
      </c>
      <c r="R125" t="n">
        <v>745</v>
      </c>
      <c r="S125" t="n">
        <v>0</v>
      </c>
      <c r="T125" t="n">
        <v>0</v>
      </c>
      <c r="U125" t="n">
        <v>0</v>
      </c>
      <c r="V125" t="n">
        <v>0</v>
      </c>
      <c r="W125" t="n">
        <v>7.4</v>
      </c>
      <c r="X125" t="n">
        <v>745</v>
      </c>
      <c r="Y125" t="n">
        <v>745</v>
      </c>
      <c r="Z125" t="n">
        <v>0.40392</v>
      </c>
      <c r="AA125" t="n">
        <v>0.04</v>
      </c>
      <c r="AB125" t="inlineStr">
        <is>
          <t>原值保留；补值为算例假设，见字段说明</t>
        </is>
      </c>
      <c r="AC125" t="n">
        <v>8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W10" sqref="A4:W10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PUMP_MIN_MW</t>
        </is>
      </c>
      <c r="V1" s="1" t="inlineStr">
        <is>
          <t>ENERGY_MWH</t>
        </is>
      </c>
      <c r="W1" s="1" t="inlineStr">
        <is>
          <t>SOC_MIN</t>
        </is>
      </c>
      <c r="X1" s="1" t="inlineStr">
        <is>
          <t>SOC_MAX</t>
        </is>
      </c>
      <c r="Y1" s="1" t="inlineStr">
        <is>
          <t>SOC_INITIAL</t>
        </is>
      </c>
      <c r="Z1" s="1" t="inlineStr">
        <is>
          <t>FOM_COST_PERIOD</t>
        </is>
      </c>
      <c r="AA1" s="1" t="inlineStr">
        <is>
          <t>DataStatus</t>
        </is>
      </c>
    </row>
    <row r="2" ht="34" customHeight="1">
      <c r="A2" t="inlineStr">
        <is>
          <t>PS_0001</t>
        </is>
      </c>
      <c r="B2" t="inlineStr">
        <is>
          <t>930632000000000000</t>
        </is>
      </c>
      <c r="C2" t="inlineStr">
        <is>
          <t>苏句抽G115.8机_JD</t>
        </is>
      </c>
      <c r="D2" t="n">
        <v>1</v>
      </c>
      <c r="E2" t="inlineStr">
        <is>
          <t>93043200000000</t>
        </is>
      </c>
      <c r="F2" t="n">
        <v>200</v>
      </c>
      <c r="G2" t="n">
        <v>-200</v>
      </c>
      <c r="H2" t="n">
        <v>0</v>
      </c>
      <c r="I2" t="n">
        <v>0</v>
      </c>
      <c r="J2" t="n">
        <v>240</v>
      </c>
      <c r="K2" t="n">
        <v>240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-200</v>
      </c>
      <c r="R2" t="n">
        <v>200</v>
      </c>
      <c r="S2" t="n">
        <v>0.8</v>
      </c>
      <c r="T2" t="n">
        <v>0.8</v>
      </c>
      <c r="U2" t="n">
        <v>200</v>
      </c>
      <c r="V2" t="n">
        <v>1875</v>
      </c>
      <c r="W2" t="n">
        <v>0.1</v>
      </c>
      <c r="X2" t="n">
        <v>0.9</v>
      </c>
      <c r="Y2" t="n">
        <v>0.5</v>
      </c>
      <c r="Z2" t="n">
        <v>9</v>
      </c>
      <c r="AA2" t="inlineStr">
        <is>
          <t>原值保留；补值为算例假设，见字段说明</t>
        </is>
      </c>
    </row>
    <row r="3" ht="34" customHeight="1">
      <c r="A3" t="inlineStr">
        <is>
          <t>PS_0002</t>
        </is>
      </c>
      <c r="B3" t="inlineStr">
        <is>
          <t>930632000000000000</t>
        </is>
      </c>
      <c r="C3" t="inlineStr">
        <is>
          <t>苏句抽G215.8机_JD</t>
        </is>
      </c>
      <c r="D3" t="n">
        <v>1</v>
      </c>
      <c r="E3" t="inlineStr">
        <is>
          <t>93043200000000</t>
        </is>
      </c>
      <c r="F3" t="n">
        <v>200</v>
      </c>
      <c r="G3" t="n">
        <v>-200</v>
      </c>
      <c r="H3" t="n">
        <v>0</v>
      </c>
      <c r="I3" t="n">
        <v>0</v>
      </c>
      <c r="J3" t="n">
        <v>240</v>
      </c>
      <c r="K3" t="n">
        <v>240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-200</v>
      </c>
      <c r="R3" t="n">
        <v>200</v>
      </c>
      <c r="S3" t="n">
        <v>0.8</v>
      </c>
      <c r="T3" t="n">
        <v>0.8</v>
      </c>
      <c r="U3" t="n">
        <v>200</v>
      </c>
      <c r="V3" t="n">
        <v>1875</v>
      </c>
      <c r="W3" t="n">
        <v>0.1</v>
      </c>
      <c r="X3" t="n">
        <v>0.9</v>
      </c>
      <c r="Y3" t="n">
        <v>0.5</v>
      </c>
      <c r="Z3" t="n">
        <v>9</v>
      </c>
      <c r="AA3" t="inlineStr">
        <is>
          <t>原值保留；补值为算例假设，见字段说明</t>
        </is>
      </c>
    </row>
    <row r="4" ht="34" customHeight="1">
      <c r="A4" t="inlineStr">
        <is>
          <t>PS_0003</t>
        </is>
      </c>
      <c r="B4" t="inlineStr">
        <is>
          <t>930632000000000000</t>
        </is>
      </c>
      <c r="C4" t="inlineStr">
        <is>
          <t>苏句抽G315.8机_JD</t>
        </is>
      </c>
      <c r="D4" t="n">
        <v>1</v>
      </c>
      <c r="E4" t="inlineStr">
        <is>
          <t>93043200000000</t>
        </is>
      </c>
      <c r="F4" t="n">
        <v>200</v>
      </c>
      <c r="G4" t="n">
        <v>-200</v>
      </c>
      <c r="H4" t="n">
        <v>0</v>
      </c>
      <c r="I4" t="n">
        <v>0</v>
      </c>
      <c r="J4" t="n">
        <v>240</v>
      </c>
      <c r="K4" t="n">
        <v>240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-200</v>
      </c>
      <c r="R4" t="n">
        <v>200</v>
      </c>
      <c r="S4" t="n">
        <v>0.8</v>
      </c>
      <c r="T4" t="n">
        <v>0.8</v>
      </c>
      <c r="U4" t="n">
        <v>200</v>
      </c>
      <c r="V4" t="n">
        <v>1875</v>
      </c>
      <c r="W4" t="n">
        <v>0.1</v>
      </c>
      <c r="X4" t="n">
        <v>0.9</v>
      </c>
      <c r="Y4" t="n">
        <v>0.5</v>
      </c>
      <c r="Z4" t="n">
        <v>9</v>
      </c>
      <c r="AA4" t="inlineStr">
        <is>
          <t>原值保留；补值为算例假设，见字段说明</t>
        </is>
      </c>
    </row>
    <row r="5" ht="34" customHeight="1">
      <c r="A5" t="inlineStr">
        <is>
          <t>PS_0004</t>
        </is>
      </c>
      <c r="B5" t="inlineStr">
        <is>
          <t>930632000000000000</t>
        </is>
      </c>
      <c r="C5" t="inlineStr">
        <is>
          <t>苏句抽G415.8机_JD</t>
        </is>
      </c>
      <c r="D5" t="n">
        <v>1</v>
      </c>
      <c r="E5" t="inlineStr">
        <is>
          <t>93043200000000</t>
        </is>
      </c>
      <c r="F5" t="n">
        <v>200</v>
      </c>
      <c r="G5" t="n">
        <v>-200</v>
      </c>
      <c r="H5" t="n">
        <v>0</v>
      </c>
      <c r="I5" t="n">
        <v>0</v>
      </c>
      <c r="J5" t="n">
        <v>240</v>
      </c>
      <c r="K5" t="n">
        <v>240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-200</v>
      </c>
      <c r="R5" t="n">
        <v>200</v>
      </c>
      <c r="S5" t="n">
        <v>0.8</v>
      </c>
      <c r="T5" t="n">
        <v>0.8</v>
      </c>
      <c r="U5" t="n">
        <v>200</v>
      </c>
      <c r="V5" t="n">
        <v>1875</v>
      </c>
      <c r="W5" t="n">
        <v>0.1</v>
      </c>
      <c r="X5" t="n">
        <v>0.9</v>
      </c>
      <c r="Y5" t="n">
        <v>0.5</v>
      </c>
      <c r="Z5" t="n">
        <v>9</v>
      </c>
      <c r="AA5" t="inlineStr">
        <is>
          <t>原值保留；补值为算例假设，见字段说明</t>
        </is>
      </c>
    </row>
    <row r="6" ht="34" customHeight="1">
      <c r="A6" t="inlineStr">
        <is>
          <t>PS_0005</t>
        </is>
      </c>
      <c r="B6" t="inlineStr">
        <is>
          <t>930632000000000000</t>
        </is>
      </c>
      <c r="C6" t="inlineStr">
        <is>
          <t>苏句抽G515.8机_JD</t>
        </is>
      </c>
      <c r="D6" t="n">
        <v>1</v>
      </c>
      <c r="E6" t="inlineStr">
        <is>
          <t>93043200000000</t>
        </is>
      </c>
      <c r="F6" t="n">
        <v>200</v>
      </c>
      <c r="G6" t="n">
        <v>-200</v>
      </c>
      <c r="H6" t="n">
        <v>0</v>
      </c>
      <c r="I6" t="n">
        <v>0</v>
      </c>
      <c r="J6" t="n">
        <v>240</v>
      </c>
      <c r="K6" t="n">
        <v>240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-200</v>
      </c>
      <c r="R6" t="n">
        <v>200</v>
      </c>
      <c r="S6" t="n">
        <v>0.8</v>
      </c>
      <c r="T6" t="n">
        <v>0.8</v>
      </c>
      <c r="U6" t="n">
        <v>200</v>
      </c>
      <c r="V6" t="n">
        <v>1875</v>
      </c>
      <c r="W6" t="n">
        <v>0.1</v>
      </c>
      <c r="X6" t="n">
        <v>0.9</v>
      </c>
      <c r="Y6" t="n">
        <v>0.5</v>
      </c>
      <c r="Z6" t="n">
        <v>9</v>
      </c>
      <c r="AA6" t="inlineStr">
        <is>
          <t>原值保留；补值为算例假设，见字段说明</t>
        </is>
      </c>
    </row>
    <row r="7" ht="34" customHeight="1">
      <c r="A7" t="inlineStr">
        <is>
          <t>PS_0006</t>
        </is>
      </c>
      <c r="B7" t="inlineStr">
        <is>
          <t>930632000000000000</t>
        </is>
      </c>
      <c r="C7" t="inlineStr">
        <is>
          <t>苏句抽G615.8机_JD</t>
        </is>
      </c>
      <c r="D7" t="n">
        <v>1</v>
      </c>
      <c r="E7" t="inlineStr">
        <is>
          <t>93043200000000</t>
        </is>
      </c>
      <c r="F7" t="n">
        <v>200</v>
      </c>
      <c r="G7" t="n">
        <v>-200</v>
      </c>
      <c r="H7" t="n">
        <v>0</v>
      </c>
      <c r="I7" t="n">
        <v>0</v>
      </c>
      <c r="J7" t="n">
        <v>240</v>
      </c>
      <c r="K7" t="n">
        <v>240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-200</v>
      </c>
      <c r="R7" t="n">
        <v>200</v>
      </c>
      <c r="S7" t="n">
        <v>0.8</v>
      </c>
      <c r="T7" t="n">
        <v>0.8</v>
      </c>
      <c r="U7" t="n">
        <v>200</v>
      </c>
      <c r="V7" t="n">
        <v>1875</v>
      </c>
      <c r="W7" t="n">
        <v>0.1</v>
      </c>
      <c r="X7" t="n">
        <v>0.9</v>
      </c>
      <c r="Y7" t="n">
        <v>0.5</v>
      </c>
      <c r="Z7" t="n">
        <v>9</v>
      </c>
      <c r="AA7" t="inlineStr">
        <is>
          <t>原值保留；补值为算例假设，见字段说明</t>
        </is>
      </c>
    </row>
    <row r="8" ht="34" customHeight="1">
      <c r="A8" t="inlineStr">
        <is>
          <t>PS_0007</t>
        </is>
      </c>
      <c r="B8" t="inlineStr">
        <is>
          <t>930632000000000000</t>
        </is>
      </c>
      <c r="C8" t="inlineStr">
        <is>
          <t>长龙山抽蓄</t>
        </is>
      </c>
      <c r="D8" t="n">
        <v>1</v>
      </c>
      <c r="E8" t="inlineStr">
        <is>
          <t>93043200000000</t>
        </is>
      </c>
      <c r="F8" t="n">
        <v>400</v>
      </c>
      <c r="G8" t="n">
        <v>-400</v>
      </c>
      <c r="H8" t="n">
        <v>0</v>
      </c>
      <c r="I8" t="n">
        <v>0</v>
      </c>
      <c r="J8" t="n">
        <v>480</v>
      </c>
      <c r="K8" t="n">
        <v>480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-400</v>
      </c>
      <c r="R8" t="n">
        <v>400</v>
      </c>
      <c r="S8" t="n">
        <v>0.8</v>
      </c>
      <c r="T8" t="n">
        <v>0.8</v>
      </c>
      <c r="U8" t="n">
        <v>400</v>
      </c>
      <c r="V8" t="n">
        <v>3750</v>
      </c>
      <c r="W8" t="n">
        <v>0.1</v>
      </c>
      <c r="X8" t="n">
        <v>0.9</v>
      </c>
      <c r="Y8" t="n">
        <v>0.5</v>
      </c>
      <c r="Z8" t="n">
        <v>9</v>
      </c>
      <c r="AA8" t="inlineStr">
        <is>
          <t>原值保留；补值为算例假设，见字段说明</t>
        </is>
      </c>
    </row>
    <row r="9" ht="34" customHeight="1">
      <c r="A9" t="inlineStr">
        <is>
          <t>PS_0008</t>
        </is>
      </c>
      <c r="B9" t="inlineStr">
        <is>
          <t>930632000000000000</t>
        </is>
      </c>
      <c r="C9" t="inlineStr">
        <is>
          <t>华溧抽_115.8机_JD</t>
        </is>
      </c>
      <c r="D9" t="n">
        <v>1</v>
      </c>
      <c r="E9" t="inlineStr">
        <is>
          <t>93043200000000</t>
        </is>
      </c>
      <c r="F9" t="n">
        <v>200</v>
      </c>
      <c r="G9" t="n">
        <v>-200</v>
      </c>
      <c r="H9" t="n">
        <v>0</v>
      </c>
      <c r="I9" t="n">
        <v>0</v>
      </c>
      <c r="J9" t="n">
        <v>240</v>
      </c>
      <c r="K9" t="n">
        <v>240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-200</v>
      </c>
      <c r="R9" t="n">
        <v>200</v>
      </c>
      <c r="S9" t="n">
        <v>0.8</v>
      </c>
      <c r="T9" t="n">
        <v>0.8</v>
      </c>
      <c r="U9" t="n">
        <v>200</v>
      </c>
      <c r="V9" t="n">
        <v>1875</v>
      </c>
      <c r="W9" t="n">
        <v>0.1</v>
      </c>
      <c r="X9" t="n">
        <v>0.9</v>
      </c>
      <c r="Y9" t="n">
        <v>0.5</v>
      </c>
      <c r="Z9" t="n">
        <v>9</v>
      </c>
      <c r="AA9" t="inlineStr">
        <is>
          <t>原值保留；补值为算例假设，见字段说明</t>
        </is>
      </c>
    </row>
    <row r="10" ht="34" customHeight="1">
      <c r="A10" t="inlineStr">
        <is>
          <t>PS_0009</t>
        </is>
      </c>
      <c r="B10" t="inlineStr">
        <is>
          <t>930632000000000000</t>
        </is>
      </c>
      <c r="C10" t="inlineStr">
        <is>
          <t>华溧抽_215.8机_JD</t>
        </is>
      </c>
      <c r="D10" t="n">
        <v>1</v>
      </c>
      <c r="E10" t="inlineStr">
        <is>
          <t>93043200000000</t>
        </is>
      </c>
      <c r="F10" t="n">
        <v>200</v>
      </c>
      <c r="G10" t="n">
        <v>-200</v>
      </c>
      <c r="H10" t="n">
        <v>0</v>
      </c>
      <c r="I10" t="n">
        <v>0</v>
      </c>
      <c r="J10" t="n">
        <v>240</v>
      </c>
      <c r="K10" t="n">
        <v>240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-200</v>
      </c>
      <c r="R10" t="n">
        <v>200</v>
      </c>
      <c r="S10" t="n">
        <v>0.8</v>
      </c>
      <c r="T10" t="n">
        <v>0.8</v>
      </c>
      <c r="U10" t="n">
        <v>200</v>
      </c>
      <c r="V10" t="n">
        <v>1875</v>
      </c>
      <c r="W10" t="n">
        <v>0.1</v>
      </c>
      <c r="X10" t="n">
        <v>0.9</v>
      </c>
      <c r="Y10" t="n">
        <v>0.5</v>
      </c>
      <c r="Z10" t="n">
        <v>9</v>
      </c>
      <c r="AA10" t="inlineStr">
        <is>
          <t>原值保留；补值为算例假设，见字段说明</t>
        </is>
      </c>
    </row>
    <row r="11" ht="34" customHeight="1">
      <c r="A11" t="inlineStr">
        <is>
          <t>PS_0010</t>
        </is>
      </c>
      <c r="B11" t="inlineStr">
        <is>
          <t>930632000000000000</t>
        </is>
      </c>
      <c r="C11" t="inlineStr">
        <is>
          <t>华溧抽_315.8机_JD</t>
        </is>
      </c>
      <c r="D11" t="n">
        <v>1</v>
      </c>
      <c r="E11" t="inlineStr">
        <is>
          <t>93043200000000</t>
        </is>
      </c>
      <c r="F11" t="n">
        <v>200</v>
      </c>
      <c r="G11" t="n">
        <v>-200</v>
      </c>
      <c r="H11" t="n">
        <v>0</v>
      </c>
      <c r="I11" t="n">
        <v>0</v>
      </c>
      <c r="J11" t="n">
        <v>240</v>
      </c>
      <c r="K11" t="n">
        <v>240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-200</v>
      </c>
      <c r="R11" t="n">
        <v>200</v>
      </c>
      <c r="S11" t="n">
        <v>0.8</v>
      </c>
      <c r="T11" t="n">
        <v>0.8</v>
      </c>
      <c r="U11" t="n">
        <v>200</v>
      </c>
      <c r="V11" t="n">
        <v>1875</v>
      </c>
      <c r="W11" t="n">
        <v>0.1</v>
      </c>
      <c r="X11" t="n">
        <v>0.9</v>
      </c>
      <c r="Y11" t="n">
        <v>0.5</v>
      </c>
      <c r="Z11" t="n">
        <v>9</v>
      </c>
      <c r="AA11" t="inlineStr">
        <is>
          <t>原值保留；补值为算例假设，见字段说明</t>
        </is>
      </c>
    </row>
    <row r="12" ht="34" customHeight="1">
      <c r="A12" t="inlineStr">
        <is>
          <t>PS_0011</t>
        </is>
      </c>
      <c r="B12" t="inlineStr">
        <is>
          <t>930632000000000000</t>
        </is>
      </c>
      <c r="C12" t="inlineStr">
        <is>
          <t>华溧抽_415.8机_JD</t>
        </is>
      </c>
      <c r="D12" t="n">
        <v>1</v>
      </c>
      <c r="E12" t="inlineStr">
        <is>
          <t>93043200000000</t>
        </is>
      </c>
      <c r="F12" t="n">
        <v>200</v>
      </c>
      <c r="G12" t="n">
        <v>-200</v>
      </c>
      <c r="H12" t="n">
        <v>0</v>
      </c>
      <c r="I12" t="n">
        <v>0</v>
      </c>
      <c r="J12" t="n">
        <v>240</v>
      </c>
      <c r="K12" t="n">
        <v>240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-200</v>
      </c>
      <c r="R12" t="n">
        <v>200</v>
      </c>
      <c r="S12" t="n">
        <v>0.8</v>
      </c>
      <c r="T12" t="n">
        <v>0.8</v>
      </c>
      <c r="U12" t="n">
        <v>200</v>
      </c>
      <c r="V12" t="n">
        <v>1875</v>
      </c>
      <c r="W12" t="n">
        <v>0.1</v>
      </c>
      <c r="X12" t="n">
        <v>0.9</v>
      </c>
      <c r="Y12" t="n">
        <v>0.5</v>
      </c>
      <c r="Z12" t="n">
        <v>9</v>
      </c>
      <c r="AA12" t="inlineStr">
        <is>
          <t>原值保留；补值为算例假设，见字段说明</t>
        </is>
      </c>
    </row>
    <row r="13" ht="34" customHeight="1">
      <c r="A13" t="inlineStr">
        <is>
          <t>PS_0012</t>
        </is>
      </c>
      <c r="B13" t="inlineStr">
        <is>
          <t>930632000000000000</t>
        </is>
      </c>
      <c r="C13" t="inlineStr">
        <is>
          <t>华溧抽_515.8机_JD</t>
        </is>
      </c>
      <c r="D13" t="n">
        <v>1</v>
      </c>
      <c r="E13" t="inlineStr">
        <is>
          <t>93043200000000</t>
        </is>
      </c>
      <c r="F13" t="n">
        <v>200</v>
      </c>
      <c r="G13" t="n">
        <v>-200</v>
      </c>
      <c r="H13" t="n">
        <v>0</v>
      </c>
      <c r="I13" t="n">
        <v>0</v>
      </c>
      <c r="J13" t="n">
        <v>240</v>
      </c>
      <c r="K13" t="n">
        <v>240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-200</v>
      </c>
      <c r="R13" t="n">
        <v>200</v>
      </c>
      <c r="S13" t="n">
        <v>0.8</v>
      </c>
      <c r="T13" t="n">
        <v>0.8</v>
      </c>
      <c r="U13" t="n">
        <v>200</v>
      </c>
      <c r="V13" t="n">
        <v>1875</v>
      </c>
      <c r="W13" t="n">
        <v>0.1</v>
      </c>
      <c r="X13" t="n">
        <v>0.9</v>
      </c>
      <c r="Y13" t="n">
        <v>0.5</v>
      </c>
      <c r="Z13" t="n">
        <v>9</v>
      </c>
      <c r="AA13" t="inlineStr">
        <is>
          <t>原值保留；补值为算例假设，见字段说明</t>
        </is>
      </c>
    </row>
    <row r="14" ht="34" customHeight="1">
      <c r="A14" t="inlineStr">
        <is>
          <t>PS_0013</t>
        </is>
      </c>
      <c r="B14" t="inlineStr">
        <is>
          <t>930632000000000000</t>
        </is>
      </c>
      <c r="C14" t="inlineStr">
        <is>
          <t>华溧抽_615.8机_JD</t>
        </is>
      </c>
      <c r="D14" t="n">
        <v>1</v>
      </c>
      <c r="E14" t="inlineStr">
        <is>
          <t>93043200000000</t>
        </is>
      </c>
      <c r="F14" t="n">
        <v>200</v>
      </c>
      <c r="G14" t="n">
        <v>-200</v>
      </c>
      <c r="H14" t="n">
        <v>0</v>
      </c>
      <c r="I14" t="n">
        <v>0</v>
      </c>
      <c r="J14" t="n">
        <v>240</v>
      </c>
      <c r="K14" t="n">
        <v>240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-200</v>
      </c>
      <c r="R14" t="n">
        <v>200</v>
      </c>
      <c r="S14" t="n">
        <v>0.8</v>
      </c>
      <c r="T14" t="n">
        <v>0.8</v>
      </c>
      <c r="U14" t="n">
        <v>200</v>
      </c>
      <c r="V14" t="n">
        <v>1875</v>
      </c>
      <c r="W14" t="n">
        <v>0.1</v>
      </c>
      <c r="X14" t="n">
        <v>0.9</v>
      </c>
      <c r="Y14" t="n">
        <v>0.5</v>
      </c>
      <c r="Z14" t="n">
        <v>9</v>
      </c>
      <c r="AA14" t="inlineStr">
        <is>
          <t>原值保留；补值为算例假设，见字段说明</t>
        </is>
      </c>
    </row>
    <row r="15" ht="34" customHeight="1">
      <c r="A15" t="inlineStr">
        <is>
          <t>PS_0014</t>
        </is>
      </c>
      <c r="B15" t="inlineStr">
        <is>
          <t>930632000000000000</t>
        </is>
      </c>
      <c r="C15" t="inlineStr">
        <is>
          <t>苏沙抽_110.5机_Jc</t>
        </is>
      </c>
      <c r="D15" t="n">
        <v>1</v>
      </c>
      <c r="E15" t="inlineStr">
        <is>
          <t>93043200000000</t>
        </is>
      </c>
      <c r="F15" t="n">
        <v>50</v>
      </c>
      <c r="G15" t="n">
        <v>-50</v>
      </c>
      <c r="H15" t="n">
        <v>0</v>
      </c>
      <c r="I15" t="n">
        <v>0</v>
      </c>
      <c r="J15" t="n">
        <v>60</v>
      </c>
      <c r="K15" t="n">
        <v>60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-50</v>
      </c>
      <c r="R15" t="n">
        <v>50</v>
      </c>
      <c r="S15" t="n">
        <v>0.8</v>
      </c>
      <c r="T15" t="n">
        <v>0.8</v>
      </c>
      <c r="U15" t="n">
        <v>50</v>
      </c>
      <c r="V15" t="n">
        <v>468.75</v>
      </c>
      <c r="W15" t="n">
        <v>0.1</v>
      </c>
      <c r="X15" t="n">
        <v>0.9</v>
      </c>
      <c r="Y15" t="n">
        <v>0.5</v>
      </c>
      <c r="Z15" t="n">
        <v>9</v>
      </c>
      <c r="AA15" t="inlineStr">
        <is>
          <t>原值保留；补值为算例假设，见字段说明</t>
        </is>
      </c>
    </row>
    <row r="16" ht="34" customHeight="1">
      <c r="A16" t="inlineStr">
        <is>
          <t>PS_0015</t>
        </is>
      </c>
      <c r="B16" t="inlineStr">
        <is>
          <t>930632000000000000</t>
        </is>
      </c>
      <c r="C16" t="inlineStr">
        <is>
          <t>苏沙抽_210.5机_Jc</t>
        </is>
      </c>
      <c r="D16" t="n">
        <v>1</v>
      </c>
      <c r="E16" t="inlineStr">
        <is>
          <t>93043200000000</t>
        </is>
      </c>
      <c r="F16" t="n">
        <v>50</v>
      </c>
      <c r="G16" t="n">
        <v>-50</v>
      </c>
      <c r="H16" t="n">
        <v>0</v>
      </c>
      <c r="I16" t="n">
        <v>0</v>
      </c>
      <c r="J16" t="n">
        <v>60</v>
      </c>
      <c r="K16" t="n">
        <v>60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-50</v>
      </c>
      <c r="R16" t="n">
        <v>50</v>
      </c>
      <c r="S16" t="n">
        <v>0.8</v>
      </c>
      <c r="T16" t="n">
        <v>0.8</v>
      </c>
      <c r="U16" t="n">
        <v>50</v>
      </c>
      <c r="V16" t="n">
        <v>468.75</v>
      </c>
      <c r="W16" t="n">
        <v>0.1</v>
      </c>
      <c r="X16" t="n">
        <v>0.9</v>
      </c>
      <c r="Y16" t="n">
        <v>0.5</v>
      </c>
      <c r="Z16" t="n">
        <v>9</v>
      </c>
      <c r="AA16" t="inlineStr">
        <is>
          <t>原值保留；补值为算例假设，见字段说明</t>
        </is>
      </c>
    </row>
    <row r="17" ht="34" customHeight="1">
      <c r="A17" t="inlineStr">
        <is>
          <t>PS_0016</t>
        </is>
      </c>
      <c r="B17" t="inlineStr">
        <is>
          <t>930632000000000000</t>
        </is>
      </c>
      <c r="C17" t="inlineStr">
        <is>
          <t>华宜抽_115.8机_JD</t>
        </is>
      </c>
      <c r="D17" t="n">
        <v>2</v>
      </c>
      <c r="E17" t="inlineStr">
        <is>
          <t>93043200000000</t>
        </is>
      </c>
      <c r="F17" t="n">
        <v>200</v>
      </c>
      <c r="G17" t="n">
        <v>-200</v>
      </c>
      <c r="H17" t="n">
        <v>0</v>
      </c>
      <c r="I17" t="n">
        <v>0</v>
      </c>
      <c r="J17" t="n">
        <v>240</v>
      </c>
      <c r="K17" t="n">
        <v>240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-200</v>
      </c>
      <c r="R17" t="n">
        <v>200</v>
      </c>
      <c r="S17" t="n">
        <v>0.8</v>
      </c>
      <c r="T17" t="n">
        <v>0.8</v>
      </c>
      <c r="U17" t="n">
        <v>200</v>
      </c>
      <c r="V17" t="n">
        <v>1875</v>
      </c>
      <c r="W17" t="n">
        <v>0.1</v>
      </c>
      <c r="X17" t="n">
        <v>0.9</v>
      </c>
      <c r="Y17" t="n">
        <v>0.5</v>
      </c>
      <c r="Z17" t="n">
        <v>9</v>
      </c>
      <c r="AA17" t="inlineStr">
        <is>
          <t>原值保留；补值为算例假设，见字段说明</t>
        </is>
      </c>
    </row>
    <row r="18" ht="34" customHeight="1">
      <c r="A18" t="inlineStr">
        <is>
          <t>PS_0017</t>
        </is>
      </c>
      <c r="B18" t="inlineStr">
        <is>
          <t>930632000000000000</t>
        </is>
      </c>
      <c r="C18" t="inlineStr">
        <is>
          <t>华宜抽_215.8机_JD</t>
        </is>
      </c>
      <c r="D18" t="n">
        <v>2</v>
      </c>
      <c r="E18" t="inlineStr">
        <is>
          <t>93043200000000</t>
        </is>
      </c>
      <c r="F18" t="n">
        <v>200</v>
      </c>
      <c r="G18" t="n">
        <v>-200</v>
      </c>
      <c r="H18" t="n">
        <v>0</v>
      </c>
      <c r="I18" t="n">
        <v>0</v>
      </c>
      <c r="J18" t="n">
        <v>240</v>
      </c>
      <c r="K18" t="n">
        <v>240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-200</v>
      </c>
      <c r="R18" t="n">
        <v>200</v>
      </c>
      <c r="S18" t="n">
        <v>0.8</v>
      </c>
      <c r="T18" t="n">
        <v>0.8</v>
      </c>
      <c r="U18" t="n">
        <v>200</v>
      </c>
      <c r="V18" t="n">
        <v>1875</v>
      </c>
      <c r="W18" t="n">
        <v>0.1</v>
      </c>
      <c r="X18" t="n">
        <v>0.9</v>
      </c>
      <c r="Y18" t="n">
        <v>0.5</v>
      </c>
      <c r="Z18" t="n">
        <v>9</v>
      </c>
      <c r="AA18" t="inlineStr">
        <is>
          <t>原值保留；补值为算例假设，见字段说明</t>
        </is>
      </c>
    </row>
    <row r="19" ht="34" customHeight="1">
      <c r="A19" t="inlineStr">
        <is>
          <t>PS_0018</t>
        </is>
      </c>
      <c r="B19" t="inlineStr">
        <is>
          <t>930632000000000000</t>
        </is>
      </c>
      <c r="C19" t="inlineStr">
        <is>
          <t>华宜抽_315.8机_JD</t>
        </is>
      </c>
      <c r="D19" t="n">
        <v>2</v>
      </c>
      <c r="E19" t="inlineStr">
        <is>
          <t>93043200000000</t>
        </is>
      </c>
      <c r="F19" t="n">
        <v>200</v>
      </c>
      <c r="G19" t="n">
        <v>-200</v>
      </c>
      <c r="H19" t="n">
        <v>0</v>
      </c>
      <c r="I19" t="n">
        <v>0</v>
      </c>
      <c r="J19" t="n">
        <v>240</v>
      </c>
      <c r="K19" t="n">
        <v>240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-200</v>
      </c>
      <c r="R19" t="n">
        <v>200</v>
      </c>
      <c r="S19" t="n">
        <v>0.8</v>
      </c>
      <c r="T19" t="n">
        <v>0.8</v>
      </c>
      <c r="U19" t="n">
        <v>200</v>
      </c>
      <c r="V19" t="n">
        <v>1875</v>
      </c>
      <c r="W19" t="n">
        <v>0.1</v>
      </c>
      <c r="X19" t="n">
        <v>0.9</v>
      </c>
      <c r="Y19" t="n">
        <v>0.5</v>
      </c>
      <c r="Z19" t="n">
        <v>9</v>
      </c>
      <c r="AA19" t="inlineStr">
        <is>
          <t>原值保留；补值为算例假设，见字段说明</t>
        </is>
      </c>
    </row>
    <row r="20" ht="34" customHeight="1">
      <c r="A20" t="inlineStr">
        <is>
          <t>PS_0019</t>
        </is>
      </c>
      <c r="B20" t="inlineStr">
        <is>
          <t>930632000000000000</t>
        </is>
      </c>
      <c r="C20" t="inlineStr">
        <is>
          <t>华宜抽_415.8机_JD</t>
        </is>
      </c>
      <c r="D20" t="n">
        <v>2</v>
      </c>
      <c r="E20" t="inlineStr">
        <is>
          <t>93043200000000</t>
        </is>
      </c>
      <c r="F20" t="n">
        <v>200</v>
      </c>
      <c r="G20" t="n">
        <v>-200</v>
      </c>
      <c r="H20" t="n">
        <v>0</v>
      </c>
      <c r="I20" t="n">
        <v>0</v>
      </c>
      <c r="J20" t="n">
        <v>240</v>
      </c>
      <c r="K20" t="n">
        <v>240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-200</v>
      </c>
      <c r="R20" t="n">
        <v>200</v>
      </c>
      <c r="S20" t="n">
        <v>0.8</v>
      </c>
      <c r="T20" t="n">
        <v>0.8</v>
      </c>
      <c r="U20" t="n">
        <v>200</v>
      </c>
      <c r="V20" t="n">
        <v>1875</v>
      </c>
      <c r="W20" t="n">
        <v>0.1</v>
      </c>
      <c r="X20" t="n">
        <v>0.9</v>
      </c>
      <c r="Y20" t="n">
        <v>0.5</v>
      </c>
      <c r="Z20" t="n">
        <v>9</v>
      </c>
      <c r="AA20" t="inlineStr">
        <is>
          <t>原值保留；补值为算例假设，见字段说明</t>
        </is>
      </c>
    </row>
    <row r="21" ht="34" customHeight="1">
      <c r="A21" t="inlineStr">
        <is>
          <t>PS_0020</t>
        </is>
      </c>
      <c r="B21" t="inlineStr">
        <is>
          <t>930632000000000000</t>
        </is>
      </c>
      <c r="C21" t="inlineStr">
        <is>
          <t>苏文抽G121.0机_JD</t>
        </is>
      </c>
      <c r="D21" t="n">
        <v>5</v>
      </c>
      <c r="E21" t="inlineStr">
        <is>
          <t>93043200000000</t>
        </is>
      </c>
      <c r="F21" t="n">
        <v>50</v>
      </c>
      <c r="G21" t="n">
        <v>-50</v>
      </c>
      <c r="H21" t="n">
        <v>0</v>
      </c>
      <c r="I21" t="n">
        <v>0</v>
      </c>
      <c r="J21" t="n">
        <v>60</v>
      </c>
      <c r="K21" t="n">
        <v>60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-50</v>
      </c>
      <c r="R21" t="n">
        <v>50</v>
      </c>
      <c r="S21" t="n">
        <v>0.8</v>
      </c>
      <c r="T21" t="n">
        <v>0.8</v>
      </c>
      <c r="U21" t="n">
        <v>50</v>
      </c>
      <c r="V21" t="n">
        <v>468.75</v>
      </c>
      <c r="W21" t="n">
        <v>0.1</v>
      </c>
      <c r="X21" t="n">
        <v>0.9</v>
      </c>
      <c r="Y21" t="n">
        <v>0.5</v>
      </c>
      <c r="Z21" t="n">
        <v>9</v>
      </c>
      <c r="AA21" t="inlineStr">
        <is>
          <t>原值保留；补值为算例假设，见字段说明</t>
        </is>
      </c>
    </row>
    <row r="22" ht="34" customHeight="1">
      <c r="A22" t="inlineStr">
        <is>
          <t>PS_0021</t>
        </is>
      </c>
      <c r="B22" t="inlineStr">
        <is>
          <t>930632000000000000</t>
        </is>
      </c>
      <c r="C22" t="inlineStr">
        <is>
          <t>苏文抽G221.0机_JD</t>
        </is>
      </c>
      <c r="D22" t="n">
        <v>5</v>
      </c>
      <c r="E22" t="inlineStr">
        <is>
          <t>93043200000000</t>
        </is>
      </c>
      <c r="F22" t="n">
        <v>50</v>
      </c>
      <c r="G22" t="n">
        <v>-50</v>
      </c>
      <c r="H22" t="n">
        <v>0</v>
      </c>
      <c r="I22" t="n">
        <v>0</v>
      </c>
      <c r="J22" t="n">
        <v>60</v>
      </c>
      <c r="K22" t="n">
        <v>60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-50</v>
      </c>
      <c r="R22" t="n">
        <v>50</v>
      </c>
      <c r="S22" t="n">
        <v>0.8</v>
      </c>
      <c r="T22" t="n">
        <v>0.8</v>
      </c>
      <c r="U22" t="n">
        <v>50</v>
      </c>
      <c r="V22" t="n">
        <v>468.75</v>
      </c>
      <c r="W22" t="n">
        <v>0.1</v>
      </c>
      <c r="X22" t="n">
        <v>0.9</v>
      </c>
      <c r="Y22" t="n">
        <v>0.5</v>
      </c>
      <c r="Z22" t="n">
        <v>9</v>
      </c>
      <c r="AA22" t="inlineStr">
        <is>
          <t>原值保留；补值为算例假设，见字段说明</t>
        </is>
      </c>
    </row>
    <row r="23" ht="34" customHeight="1">
      <c r="A23" t="inlineStr">
        <is>
          <t>PS_0022</t>
        </is>
      </c>
      <c r="B23" t="inlineStr">
        <is>
          <t>930632000000000000</t>
        </is>
      </c>
      <c r="C23" t="inlineStr">
        <is>
          <t>苏文抽G321.0机_JD</t>
        </is>
      </c>
      <c r="D23" t="n">
        <v>5</v>
      </c>
      <c r="E23" t="inlineStr">
        <is>
          <t>93043200000000</t>
        </is>
      </c>
      <c r="F23" t="n">
        <v>50</v>
      </c>
      <c r="G23" t="n">
        <v>-50</v>
      </c>
      <c r="H23" t="n">
        <v>0</v>
      </c>
      <c r="I23" t="n">
        <v>0</v>
      </c>
      <c r="J23" t="n">
        <v>60</v>
      </c>
      <c r="K23" t="n">
        <v>60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-50</v>
      </c>
      <c r="R23" t="n">
        <v>50</v>
      </c>
      <c r="S23" t="n">
        <v>0.8</v>
      </c>
      <c r="T23" t="n">
        <v>0.8</v>
      </c>
      <c r="U23" t="n">
        <v>50</v>
      </c>
      <c r="V23" t="n">
        <v>468.75</v>
      </c>
      <c r="W23" t="n">
        <v>0.1</v>
      </c>
      <c r="X23" t="n">
        <v>0.9</v>
      </c>
      <c r="Y23" t="n">
        <v>0.5</v>
      </c>
      <c r="Z23" t="n">
        <v>9</v>
      </c>
      <c r="AA23" t="inlineStr">
        <is>
          <t>原值保留；补值为算例假设，见字段说明</t>
        </is>
      </c>
    </row>
    <row r="24" ht="34" customHeight="1">
      <c r="A24" t="inlineStr">
        <is>
          <t>PS_0023</t>
        </is>
      </c>
      <c r="B24" t="inlineStr">
        <is>
          <t>930632000000000000</t>
        </is>
      </c>
      <c r="C24" t="inlineStr">
        <is>
          <t>苏文抽G421.0机_JD</t>
        </is>
      </c>
      <c r="D24" t="n">
        <v>5</v>
      </c>
      <c r="E24" t="inlineStr">
        <is>
          <t>93043200000000</t>
        </is>
      </c>
      <c r="F24" t="n">
        <v>50</v>
      </c>
      <c r="G24" t="n">
        <v>-50</v>
      </c>
      <c r="H24" t="n">
        <v>0</v>
      </c>
      <c r="I24" t="n">
        <v>0</v>
      </c>
      <c r="J24" t="n">
        <v>60</v>
      </c>
      <c r="K24" t="n">
        <v>60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-50</v>
      </c>
      <c r="R24" t="n">
        <v>50</v>
      </c>
      <c r="S24" t="n">
        <v>0.8</v>
      </c>
      <c r="T24" t="n">
        <v>0.8</v>
      </c>
      <c r="U24" t="n">
        <v>50</v>
      </c>
      <c r="V24" t="n">
        <v>468.75</v>
      </c>
      <c r="W24" t="n">
        <v>0.1</v>
      </c>
      <c r="X24" t="n">
        <v>0.9</v>
      </c>
      <c r="Y24" t="n">
        <v>0.5</v>
      </c>
      <c r="Z24" t="n">
        <v>9</v>
      </c>
      <c r="AA24" t="inlineStr">
        <is>
          <t>原值保留；补值为算例假设，见字段说明</t>
        </is>
      </c>
    </row>
    <row r="25" ht="34" customHeight="1">
      <c r="A25" t="inlineStr">
        <is>
          <t>PS_0024</t>
        </is>
      </c>
      <c r="B25" t="inlineStr">
        <is>
          <t>930632000000000000</t>
        </is>
      </c>
      <c r="C25" t="inlineStr">
        <is>
          <t>苏文抽G521.0机_JD</t>
        </is>
      </c>
      <c r="D25" t="n">
        <v>5</v>
      </c>
      <c r="E25" t="inlineStr">
        <is>
          <t>93043200000000</t>
        </is>
      </c>
      <c r="F25" t="n">
        <v>50</v>
      </c>
      <c r="G25" t="n">
        <v>-50</v>
      </c>
      <c r="H25" t="n">
        <v>0</v>
      </c>
      <c r="I25" t="n">
        <v>0</v>
      </c>
      <c r="J25" t="n">
        <v>60</v>
      </c>
      <c r="K25" t="n">
        <v>60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-50</v>
      </c>
      <c r="R25" t="n">
        <v>50</v>
      </c>
      <c r="S25" t="n">
        <v>0.8</v>
      </c>
      <c r="T25" t="n">
        <v>0.8</v>
      </c>
      <c r="U25" t="n">
        <v>50</v>
      </c>
      <c r="V25" t="n">
        <v>468.75</v>
      </c>
      <c r="W25" t="n">
        <v>0.1</v>
      </c>
      <c r="X25" t="n">
        <v>0.9</v>
      </c>
      <c r="Y25" t="n">
        <v>0.5</v>
      </c>
      <c r="Z25" t="n">
        <v>9</v>
      </c>
      <c r="AA25" t="inlineStr">
        <is>
          <t>原值保留；补值为算例假设，见字段说明</t>
        </is>
      </c>
    </row>
    <row r="26" ht="34" customHeight="1">
      <c r="A26" t="inlineStr">
        <is>
          <t>PS_0025</t>
        </is>
      </c>
      <c r="B26" t="inlineStr">
        <is>
          <t>930632000000000000</t>
        </is>
      </c>
      <c r="C26" t="inlineStr">
        <is>
          <t>苏文抽G621.0机_JD</t>
        </is>
      </c>
      <c r="D26" t="n">
        <v>5</v>
      </c>
      <c r="E26" t="inlineStr">
        <is>
          <t>93043200000000</t>
        </is>
      </c>
      <c r="F26" t="n">
        <v>50</v>
      </c>
      <c r="G26" t="n">
        <v>-50</v>
      </c>
      <c r="H26" t="n">
        <v>0</v>
      </c>
      <c r="I26" t="n">
        <v>0</v>
      </c>
      <c r="J26" t="n">
        <v>60</v>
      </c>
      <c r="K26" t="n">
        <v>60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-50</v>
      </c>
      <c r="R26" t="n">
        <v>50</v>
      </c>
      <c r="S26" t="n">
        <v>0.8</v>
      </c>
      <c r="T26" t="n">
        <v>0.8</v>
      </c>
      <c r="U26" t="n">
        <v>50</v>
      </c>
      <c r="V26" t="n">
        <v>468.75</v>
      </c>
      <c r="W26" t="n">
        <v>0.1</v>
      </c>
      <c r="X26" t="n">
        <v>0.9</v>
      </c>
      <c r="Y26" t="n">
        <v>0.5</v>
      </c>
      <c r="Z26" t="n">
        <v>9</v>
      </c>
      <c r="AA26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T11" sqref="A6:T11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4"/>
    <col width="48" customWidth="1" min="25" max="25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GEN_COST</t>
        </is>
      </c>
      <c r="Y1" s="1" t="inlineStr">
        <is>
          <t>DataStatus</t>
        </is>
      </c>
    </row>
    <row r="2" ht="34" customHeight="1">
      <c r="A2" t="inlineStr">
        <is>
          <t>NUC_0001</t>
        </is>
      </c>
      <c r="B2" t="inlineStr">
        <is>
          <t>930632000000000000</t>
        </is>
      </c>
      <c r="C2" t="inlineStr">
        <is>
          <t>苏西陬G124.0机_JH</t>
        </is>
      </c>
      <c r="D2" t="n">
        <v>5</v>
      </c>
      <c r="E2" t="inlineStr">
        <is>
          <t>93043200000000</t>
        </is>
      </c>
      <c r="F2" t="n">
        <v>660</v>
      </c>
      <c r="G2" t="n">
        <v>660</v>
      </c>
      <c r="H2" t="n">
        <v>0</v>
      </c>
      <c r="I2" t="n">
        <v>0</v>
      </c>
      <c r="J2" t="n">
        <v>792</v>
      </c>
      <c r="K2" t="n">
        <v>792</v>
      </c>
      <c r="L2" t="n">
        <v>0</v>
      </c>
      <c r="M2" t="n">
        <v>0</v>
      </c>
      <c r="N2" t="n">
        <v>0</v>
      </c>
      <c r="O2" t="n">
        <v>100</v>
      </c>
      <c r="P2" t="n">
        <v>100</v>
      </c>
      <c r="Q2" t="n">
        <v>0</v>
      </c>
      <c r="R2" t="n">
        <v>660</v>
      </c>
      <c r="S2" t="n">
        <v>0</v>
      </c>
      <c r="T2" t="n">
        <v>0</v>
      </c>
      <c r="U2" t="n">
        <v>660</v>
      </c>
      <c r="V2" t="n">
        <v>30</v>
      </c>
      <c r="W2" t="n">
        <v>0</v>
      </c>
      <c r="X2" t="n">
        <v>0.01</v>
      </c>
      <c r="Y2" t="inlineStr">
        <is>
          <t>原值保留；补值为算例假设，见字段说明</t>
        </is>
      </c>
    </row>
    <row r="3" ht="34" customHeight="1">
      <c r="A3" t="inlineStr">
        <is>
          <t>NUC_0002</t>
        </is>
      </c>
      <c r="B3" t="inlineStr">
        <is>
          <t>930632000000000000</t>
        </is>
      </c>
      <c r="C3" t="inlineStr">
        <is>
          <t>苏西陬G224.0机_JH</t>
        </is>
      </c>
      <c r="D3" t="n">
        <v>5</v>
      </c>
      <c r="E3" t="inlineStr">
        <is>
          <t>93043200000000</t>
        </is>
      </c>
      <c r="F3" t="n">
        <v>660</v>
      </c>
      <c r="G3" t="n">
        <v>660</v>
      </c>
      <c r="H3" t="n">
        <v>0</v>
      </c>
      <c r="I3" t="n">
        <v>0</v>
      </c>
      <c r="J3" t="n">
        <v>792</v>
      </c>
      <c r="K3" t="n">
        <v>792</v>
      </c>
      <c r="L3" t="n">
        <v>0</v>
      </c>
      <c r="M3" t="n">
        <v>0</v>
      </c>
      <c r="N3" t="n">
        <v>0</v>
      </c>
      <c r="O3" t="n">
        <v>100</v>
      </c>
      <c r="P3" t="n">
        <v>100</v>
      </c>
      <c r="Q3" t="n">
        <v>0</v>
      </c>
      <c r="R3" t="n">
        <v>660</v>
      </c>
      <c r="S3" t="n">
        <v>0</v>
      </c>
      <c r="T3" t="n">
        <v>0</v>
      </c>
      <c r="U3" t="n">
        <v>660</v>
      </c>
      <c r="V3" t="n">
        <v>30</v>
      </c>
      <c r="W3" t="n">
        <v>0</v>
      </c>
      <c r="X3" t="n">
        <v>0.01</v>
      </c>
      <c r="Y3" t="inlineStr">
        <is>
          <t>原值保留；补值为算例假设，见字段说明</t>
        </is>
      </c>
    </row>
    <row r="4" ht="34" customHeight="1">
      <c r="A4" t="inlineStr">
        <is>
          <t>NUC_0003</t>
        </is>
      </c>
      <c r="B4" t="inlineStr">
        <is>
          <t>930632000000000000</t>
        </is>
      </c>
      <c r="C4" t="inlineStr">
        <is>
          <t>苏田湾_124.0机_JH</t>
        </is>
      </c>
      <c r="D4" t="n">
        <v>5</v>
      </c>
      <c r="E4" t="inlineStr">
        <is>
          <t>93043200000000</t>
        </is>
      </c>
      <c r="F4" t="n">
        <v>660</v>
      </c>
      <c r="G4" t="n">
        <v>660</v>
      </c>
      <c r="H4" t="n">
        <v>0</v>
      </c>
      <c r="I4" t="n">
        <v>0</v>
      </c>
      <c r="J4" t="n">
        <v>792</v>
      </c>
      <c r="K4" t="n">
        <v>792</v>
      </c>
      <c r="L4" t="n">
        <v>0</v>
      </c>
      <c r="M4" t="n">
        <v>0</v>
      </c>
      <c r="N4" t="n">
        <v>0</v>
      </c>
      <c r="O4" t="n">
        <v>100</v>
      </c>
      <c r="P4" t="n">
        <v>100</v>
      </c>
      <c r="Q4" t="n">
        <v>0</v>
      </c>
      <c r="R4" t="n">
        <v>660</v>
      </c>
      <c r="S4" t="n">
        <v>0</v>
      </c>
      <c r="T4" t="n">
        <v>0</v>
      </c>
      <c r="U4" t="n">
        <v>660</v>
      </c>
      <c r="V4" t="n">
        <v>30</v>
      </c>
      <c r="W4" t="n">
        <v>0</v>
      </c>
      <c r="X4" t="n">
        <v>0.01</v>
      </c>
      <c r="Y4" t="inlineStr">
        <is>
          <t>原值保留；补值为算例假设，见字段说明</t>
        </is>
      </c>
    </row>
    <row r="5" ht="34" customHeight="1">
      <c r="A5" t="inlineStr">
        <is>
          <t>NUC_0004</t>
        </is>
      </c>
      <c r="B5" t="inlineStr">
        <is>
          <t>930632000000000000</t>
        </is>
      </c>
      <c r="C5" t="inlineStr">
        <is>
          <t>苏田湾_224.0机_JH</t>
        </is>
      </c>
      <c r="D5" t="n">
        <v>5</v>
      </c>
      <c r="E5" t="inlineStr">
        <is>
          <t>93043200000000</t>
        </is>
      </c>
      <c r="F5" t="n">
        <v>660</v>
      </c>
      <c r="G5" t="n">
        <v>660</v>
      </c>
      <c r="H5" t="n">
        <v>0</v>
      </c>
      <c r="I5" t="n">
        <v>0</v>
      </c>
      <c r="J5" t="n">
        <v>792</v>
      </c>
      <c r="K5" t="n">
        <v>792</v>
      </c>
      <c r="L5" t="n">
        <v>0</v>
      </c>
      <c r="M5" t="n">
        <v>0</v>
      </c>
      <c r="N5" t="n">
        <v>0</v>
      </c>
      <c r="O5" t="n">
        <v>100</v>
      </c>
      <c r="P5" t="n">
        <v>100</v>
      </c>
      <c r="Q5" t="n">
        <v>0</v>
      </c>
      <c r="R5" t="n">
        <v>660</v>
      </c>
      <c r="S5" t="n">
        <v>0</v>
      </c>
      <c r="T5" t="n">
        <v>0</v>
      </c>
      <c r="U5" t="n">
        <v>660</v>
      </c>
      <c r="V5" t="n">
        <v>30</v>
      </c>
      <c r="W5" t="n">
        <v>0</v>
      </c>
      <c r="X5" t="n">
        <v>0.01</v>
      </c>
      <c r="Y5" t="inlineStr">
        <is>
          <t>原值保留；补值为算例假设，见字段说明</t>
        </is>
      </c>
    </row>
    <row r="6" ht="34" customHeight="1">
      <c r="A6" t="inlineStr">
        <is>
          <t>NUC_0005</t>
        </is>
      </c>
      <c r="B6" t="inlineStr">
        <is>
          <t>930632000000000000</t>
        </is>
      </c>
      <c r="C6" t="inlineStr">
        <is>
          <t>苏田湾_324.0机_JH</t>
        </is>
      </c>
      <c r="D6" t="n">
        <v>5</v>
      </c>
      <c r="E6" t="inlineStr">
        <is>
          <t>93043200000000</t>
        </is>
      </c>
      <c r="F6" t="n">
        <v>660</v>
      </c>
      <c r="G6" t="n">
        <v>660</v>
      </c>
      <c r="H6" t="n">
        <v>0</v>
      </c>
      <c r="I6" t="n">
        <v>0</v>
      </c>
      <c r="J6" t="n">
        <v>792</v>
      </c>
      <c r="K6" t="n">
        <v>792</v>
      </c>
      <c r="L6" t="n">
        <v>0</v>
      </c>
      <c r="M6" t="n">
        <v>0</v>
      </c>
      <c r="N6" t="n">
        <v>0</v>
      </c>
      <c r="O6" t="n">
        <v>100</v>
      </c>
      <c r="P6" t="n">
        <v>100</v>
      </c>
      <c r="Q6" t="n">
        <v>0</v>
      </c>
      <c r="R6" t="n">
        <v>660</v>
      </c>
      <c r="S6" t="n">
        <v>0</v>
      </c>
      <c r="T6" t="n">
        <v>0</v>
      </c>
      <c r="U6" t="n">
        <v>660</v>
      </c>
      <c r="V6" t="n">
        <v>30</v>
      </c>
      <c r="W6" t="n">
        <v>0</v>
      </c>
      <c r="X6" t="n">
        <v>0.01</v>
      </c>
      <c r="Y6" t="inlineStr">
        <is>
          <t>原值保留；补值为算例假设，见字段说明</t>
        </is>
      </c>
    </row>
    <row r="7" ht="34" customHeight="1">
      <c r="A7" t="inlineStr">
        <is>
          <t>NUC_0006</t>
        </is>
      </c>
      <c r="B7" t="inlineStr">
        <is>
          <t>930632000000000000</t>
        </is>
      </c>
      <c r="C7" t="inlineStr">
        <is>
          <t>苏田湾_424.0机_JH</t>
        </is>
      </c>
      <c r="D7" t="n">
        <v>5</v>
      </c>
      <c r="E7" t="inlineStr">
        <is>
          <t>93043200000000</t>
        </is>
      </c>
      <c r="F7" t="n">
        <v>660</v>
      </c>
      <c r="G7" t="n">
        <v>660</v>
      </c>
      <c r="H7" t="n">
        <v>0</v>
      </c>
      <c r="I7" t="n">
        <v>0</v>
      </c>
      <c r="J7" t="n">
        <v>792</v>
      </c>
      <c r="K7" t="n">
        <v>792</v>
      </c>
      <c r="L7" t="n">
        <v>0</v>
      </c>
      <c r="M7" t="n">
        <v>0</v>
      </c>
      <c r="N7" t="n">
        <v>0</v>
      </c>
      <c r="O7" t="n">
        <v>100</v>
      </c>
      <c r="P7" t="n">
        <v>100</v>
      </c>
      <c r="Q7" t="n">
        <v>0</v>
      </c>
      <c r="R7" t="n">
        <v>660</v>
      </c>
      <c r="S7" t="n">
        <v>0</v>
      </c>
      <c r="T7" t="n">
        <v>0</v>
      </c>
      <c r="U7" t="n">
        <v>660</v>
      </c>
      <c r="V7" t="n">
        <v>30</v>
      </c>
      <c r="W7" t="n">
        <v>0</v>
      </c>
      <c r="X7" t="n">
        <v>0.01</v>
      </c>
      <c r="Y7" t="inlineStr">
        <is>
          <t>原值保留；补值为算例假设，见字段说明</t>
        </is>
      </c>
    </row>
    <row r="8" ht="34" customHeight="1">
      <c r="A8" t="inlineStr">
        <is>
          <t>NUC_0007</t>
        </is>
      </c>
      <c r="B8" t="inlineStr">
        <is>
          <t>930632000000000000</t>
        </is>
      </c>
      <c r="C8" t="inlineStr">
        <is>
          <t>苏田三_524.0机_JH</t>
        </is>
      </c>
      <c r="D8" t="n">
        <v>5</v>
      </c>
      <c r="E8" t="inlineStr">
        <is>
          <t>93043200000000</t>
        </is>
      </c>
      <c r="F8" t="n">
        <v>660</v>
      </c>
      <c r="G8" t="n">
        <v>660</v>
      </c>
      <c r="H8" t="n">
        <v>0</v>
      </c>
      <c r="I8" t="n">
        <v>0</v>
      </c>
      <c r="J8" t="n">
        <v>792</v>
      </c>
      <c r="K8" t="n">
        <v>792</v>
      </c>
      <c r="L8" t="n">
        <v>0</v>
      </c>
      <c r="M8" t="n">
        <v>0</v>
      </c>
      <c r="N8" t="n">
        <v>0</v>
      </c>
      <c r="O8" t="n">
        <v>100</v>
      </c>
      <c r="P8" t="n">
        <v>100</v>
      </c>
      <c r="Q8" t="n">
        <v>0</v>
      </c>
      <c r="R8" t="n">
        <v>660</v>
      </c>
      <c r="S8" t="n">
        <v>0</v>
      </c>
      <c r="T8" t="n">
        <v>0</v>
      </c>
      <c r="U8" t="n">
        <v>660</v>
      </c>
      <c r="V8" t="n">
        <v>30</v>
      </c>
      <c r="W8" t="n">
        <v>0</v>
      </c>
      <c r="X8" t="n">
        <v>0.01</v>
      </c>
      <c r="Y8" t="inlineStr">
        <is>
          <t>原值保留；补值为算例假设，见字段说明</t>
        </is>
      </c>
    </row>
    <row r="9" ht="34" customHeight="1">
      <c r="A9" t="inlineStr">
        <is>
          <t>NUC_0008</t>
        </is>
      </c>
      <c r="B9" t="inlineStr">
        <is>
          <t>930632000000000000</t>
        </is>
      </c>
      <c r="C9" t="inlineStr">
        <is>
          <t>苏田三_624.0机_JH</t>
        </is>
      </c>
      <c r="D9" t="n">
        <v>5</v>
      </c>
      <c r="E9" t="inlineStr">
        <is>
          <t>93043200000000</t>
        </is>
      </c>
      <c r="F9" t="n">
        <v>660</v>
      </c>
      <c r="G9" t="n">
        <v>660</v>
      </c>
      <c r="H9" t="n">
        <v>0</v>
      </c>
      <c r="I9" t="n">
        <v>0</v>
      </c>
      <c r="J9" t="n">
        <v>792</v>
      </c>
      <c r="K9" t="n">
        <v>792</v>
      </c>
      <c r="L9" t="n">
        <v>0</v>
      </c>
      <c r="M9" t="n">
        <v>0</v>
      </c>
      <c r="N9" t="n">
        <v>0</v>
      </c>
      <c r="O9" t="n">
        <v>100</v>
      </c>
      <c r="P9" t="n">
        <v>100</v>
      </c>
      <c r="Q9" t="n">
        <v>0</v>
      </c>
      <c r="R9" t="n">
        <v>660</v>
      </c>
      <c r="S9" t="n">
        <v>0</v>
      </c>
      <c r="T9" t="n">
        <v>0</v>
      </c>
      <c r="U9" t="n">
        <v>660</v>
      </c>
      <c r="V9" t="n">
        <v>30</v>
      </c>
      <c r="W9" t="n">
        <v>0</v>
      </c>
      <c r="X9" t="n">
        <v>0.01</v>
      </c>
      <c r="Y9" t="inlineStr">
        <is>
          <t>原值保留；补值为算例假设，见字段说明</t>
        </is>
      </c>
    </row>
    <row r="10" ht="34" customHeight="1">
      <c r="A10" t="inlineStr">
        <is>
          <t>NUC_0009</t>
        </is>
      </c>
      <c r="B10" t="inlineStr">
        <is>
          <t>930632000000000000</t>
        </is>
      </c>
      <c r="C10" t="inlineStr">
        <is>
          <t>苏田三_724.0机_JH</t>
        </is>
      </c>
      <c r="D10" t="n">
        <v>5</v>
      </c>
      <c r="E10" t="inlineStr">
        <is>
          <t>93043200000000</t>
        </is>
      </c>
      <c r="F10" t="n">
        <v>660</v>
      </c>
      <c r="G10" t="n">
        <v>660</v>
      </c>
      <c r="H10" t="n">
        <v>0</v>
      </c>
      <c r="I10" t="n">
        <v>0</v>
      </c>
      <c r="J10" t="n">
        <v>792</v>
      </c>
      <c r="K10" t="n">
        <v>792</v>
      </c>
      <c r="L10" t="n">
        <v>0</v>
      </c>
      <c r="M10" t="n">
        <v>0</v>
      </c>
      <c r="N10" t="n">
        <v>0</v>
      </c>
      <c r="O10" t="n">
        <v>100</v>
      </c>
      <c r="P10" t="n">
        <v>100</v>
      </c>
      <c r="Q10" t="n">
        <v>0</v>
      </c>
      <c r="R10" t="n">
        <v>660</v>
      </c>
      <c r="S10" t="n">
        <v>0</v>
      </c>
      <c r="T10" t="n">
        <v>0</v>
      </c>
      <c r="U10" t="n">
        <v>660</v>
      </c>
      <c r="V10" t="n">
        <v>30</v>
      </c>
      <c r="W10" t="n">
        <v>0</v>
      </c>
      <c r="X10" t="n">
        <v>0.01</v>
      </c>
      <c r="Y10" t="inlineStr">
        <is>
          <t>原值保留；补值为算例假设，见字段说明</t>
        </is>
      </c>
    </row>
    <row r="11" ht="34" customHeight="1">
      <c r="A11" t="inlineStr">
        <is>
          <t>NUC_0010</t>
        </is>
      </c>
      <c r="B11" t="inlineStr">
        <is>
          <t>930632000000000000</t>
        </is>
      </c>
      <c r="C11" t="inlineStr">
        <is>
          <t>苏田三_824.0机_JH</t>
        </is>
      </c>
      <c r="D11" t="n">
        <v>5</v>
      </c>
      <c r="E11" t="inlineStr">
        <is>
          <t>93043200000000</t>
        </is>
      </c>
      <c r="F11" t="n">
        <v>660</v>
      </c>
      <c r="G11" t="n">
        <v>660</v>
      </c>
      <c r="H11" t="n">
        <v>0</v>
      </c>
      <c r="I11" t="n">
        <v>0</v>
      </c>
      <c r="J11" t="n">
        <v>792</v>
      </c>
      <c r="K11" t="n">
        <v>792</v>
      </c>
      <c r="L11" t="n">
        <v>0</v>
      </c>
      <c r="M11" t="n">
        <v>0</v>
      </c>
      <c r="N11" t="n">
        <v>0</v>
      </c>
      <c r="O11" t="n">
        <v>100</v>
      </c>
      <c r="P11" t="n">
        <v>100</v>
      </c>
      <c r="Q11" t="n">
        <v>0</v>
      </c>
      <c r="R11" t="n">
        <v>660</v>
      </c>
      <c r="S11" t="n">
        <v>0</v>
      </c>
      <c r="T11" t="n">
        <v>0</v>
      </c>
      <c r="U11" t="n">
        <v>660</v>
      </c>
      <c r="V11" t="n">
        <v>30</v>
      </c>
      <c r="W11" t="n">
        <v>0</v>
      </c>
      <c r="X11" t="n">
        <v>0.01</v>
      </c>
      <c r="Y11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13" sqref="C13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6"/>
    <col width="48" customWidth="1" min="27" max="27"/>
    <col width="22" customWidth="1" min="28" max="28"/>
  </cols>
  <sheetData>
    <row r="1" ht="46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INIT_POWER</t>
        </is>
      </c>
      <c r="V1" s="1" t="inlineStr">
        <is>
          <t>FOM_COST_PERIOD</t>
        </is>
      </c>
      <c r="W1" s="1" t="inlineStr">
        <is>
          <t>INIT_MAINTENANCE</t>
        </is>
      </c>
      <c r="X1" s="1" t="inlineStr">
        <is>
          <t>START_RAMP</t>
        </is>
      </c>
      <c r="Y1" s="1" t="inlineStr">
        <is>
          <t>STOP_RAMP</t>
        </is>
      </c>
      <c r="Z1" s="1" t="inlineStr">
        <is>
          <t>GEN_COST</t>
        </is>
      </c>
      <c r="AA1" s="1" t="inlineStr">
        <is>
          <t>DataStatus</t>
        </is>
      </c>
      <c r="AB1" s="1" t="inlineStr">
        <is>
          <t>ENERGY_LIMIT_MWH</t>
        </is>
      </c>
    </row>
    <row r="2" ht="34" customHeight="1">
      <c r="A2" t="inlineStr">
        <is>
          <t>BIO_0001</t>
        </is>
      </c>
      <c r="B2" t="inlineStr">
        <is>
          <t>930632000000000000</t>
        </is>
      </c>
      <c r="C2" t="inlineStr">
        <is>
          <t>南京生物质</t>
        </is>
      </c>
      <c r="D2" t="n">
        <v>1</v>
      </c>
      <c r="E2" t="inlineStr">
        <is>
          <t>93043200000000</t>
        </is>
      </c>
      <c r="F2" t="n">
        <v>165</v>
      </c>
      <c r="G2" t="n">
        <v>132</v>
      </c>
      <c r="H2" t="n">
        <v>72</v>
      </c>
      <c r="I2" t="n">
        <v>48</v>
      </c>
      <c r="J2" t="n">
        <v>198</v>
      </c>
      <c r="K2" t="n">
        <v>198</v>
      </c>
      <c r="L2" t="n">
        <v>8e-06</v>
      </c>
      <c r="M2" t="n">
        <v>0.012</v>
      </c>
      <c r="N2" t="n">
        <v>0.3</v>
      </c>
      <c r="O2" t="n">
        <v>3</v>
      </c>
      <c r="P2" t="n">
        <v>3</v>
      </c>
      <c r="Q2" t="n">
        <v>0</v>
      </c>
      <c r="R2" t="n">
        <v>165</v>
      </c>
      <c r="S2" t="n">
        <v>0</v>
      </c>
      <c r="T2" t="n">
        <v>0</v>
      </c>
      <c r="U2" t="n">
        <v>132</v>
      </c>
      <c r="V2" t="n">
        <v>21.25</v>
      </c>
      <c r="W2" t="n">
        <v>0</v>
      </c>
      <c r="X2" t="n">
        <v>165</v>
      </c>
      <c r="Y2" t="n">
        <v>165</v>
      </c>
      <c r="Z2" t="n">
        <v>0.04</v>
      </c>
      <c r="AA2" t="inlineStr">
        <is>
          <t>原值保留；补值为算例假设，见字段说明</t>
        </is>
      </c>
      <c r="AB2" t="n">
        <v>1320000</v>
      </c>
    </row>
    <row r="3" ht="34" customHeight="1">
      <c r="A3" t="inlineStr">
        <is>
          <t>BIO_0002</t>
        </is>
      </c>
      <c r="B3" t="inlineStr">
        <is>
          <t>930632000000000000</t>
        </is>
      </c>
      <c r="C3" t="inlineStr">
        <is>
          <t>镇江生物质</t>
        </is>
      </c>
      <c r="D3" t="n">
        <v>1</v>
      </c>
      <c r="E3" t="inlineStr">
        <is>
          <t>93043200000000</t>
        </is>
      </c>
      <c r="F3" t="n">
        <v>91</v>
      </c>
      <c r="G3" t="n">
        <v>72.8</v>
      </c>
      <c r="H3" t="n">
        <v>72</v>
      </c>
      <c r="I3" t="n">
        <v>48</v>
      </c>
      <c r="J3" t="n">
        <v>109.2</v>
      </c>
      <c r="K3" t="n">
        <v>109.2</v>
      </c>
      <c r="L3" t="n">
        <v>8e-06</v>
      </c>
      <c r="M3" t="n">
        <v>0.012</v>
      </c>
      <c r="N3" t="n">
        <v>0.3</v>
      </c>
      <c r="O3" t="n">
        <v>3</v>
      </c>
      <c r="P3" t="n">
        <v>3</v>
      </c>
      <c r="Q3" t="n">
        <v>0</v>
      </c>
      <c r="R3" t="n">
        <v>91</v>
      </c>
      <c r="S3" t="n">
        <v>0</v>
      </c>
      <c r="T3" t="n">
        <v>0</v>
      </c>
      <c r="U3" t="n">
        <v>72.8</v>
      </c>
      <c r="V3" t="n">
        <v>21.25</v>
      </c>
      <c r="W3" t="n">
        <v>0</v>
      </c>
      <c r="X3" t="n">
        <v>91</v>
      </c>
      <c r="Y3" t="n">
        <v>91</v>
      </c>
      <c r="Z3" t="n">
        <v>0.04</v>
      </c>
      <c r="AA3" t="inlineStr">
        <is>
          <t>原值保留；补值为算例假设，见字段说明</t>
        </is>
      </c>
      <c r="AB3" t="n">
        <v>728000</v>
      </c>
    </row>
    <row r="4" ht="34" customHeight="1">
      <c r="A4" t="inlineStr">
        <is>
          <t>BIO_0003</t>
        </is>
      </c>
      <c r="B4" t="inlineStr">
        <is>
          <t>930632000000000000</t>
        </is>
      </c>
      <c r="C4" t="inlineStr">
        <is>
          <t>常州生物质</t>
        </is>
      </c>
      <c r="D4" t="n">
        <v>1</v>
      </c>
      <c r="E4" t="inlineStr">
        <is>
          <t>93043200000000</t>
        </is>
      </c>
      <c r="F4" t="n">
        <v>76.59999999999999</v>
      </c>
      <c r="G4" t="n">
        <v>61.28</v>
      </c>
      <c r="H4" t="n">
        <v>72</v>
      </c>
      <c r="I4" t="n">
        <v>48</v>
      </c>
      <c r="J4" t="n">
        <v>91.92</v>
      </c>
      <c r="K4" t="n">
        <v>91.92</v>
      </c>
      <c r="L4" t="n">
        <v>8e-06</v>
      </c>
      <c r="M4" t="n">
        <v>0.012</v>
      </c>
      <c r="N4" t="n">
        <v>0.3</v>
      </c>
      <c r="O4" t="n">
        <v>3</v>
      </c>
      <c r="P4" t="n">
        <v>3</v>
      </c>
      <c r="Q4" t="n">
        <v>0</v>
      </c>
      <c r="R4" t="n">
        <v>76.59999999999999</v>
      </c>
      <c r="S4" t="n">
        <v>0</v>
      </c>
      <c r="T4" t="n">
        <v>0</v>
      </c>
      <c r="U4" t="n">
        <v>61.28</v>
      </c>
      <c r="V4" t="n">
        <v>21.25</v>
      </c>
      <c r="W4" t="n">
        <v>0</v>
      </c>
      <c r="X4" t="n">
        <v>76.59999999999999</v>
      </c>
      <c r="Y4" t="n">
        <v>76.59999999999999</v>
      </c>
      <c r="Z4" t="n">
        <v>0.04</v>
      </c>
      <c r="AA4" t="inlineStr">
        <is>
          <t>原值保留；补值为算例假设，见字段说明</t>
        </is>
      </c>
      <c r="AB4" t="n">
        <v>612800</v>
      </c>
    </row>
    <row r="5" ht="34" customHeight="1">
      <c r="A5" t="inlineStr">
        <is>
          <t>BIO_0004</t>
        </is>
      </c>
      <c r="B5" t="inlineStr">
        <is>
          <t>930632000000000000</t>
        </is>
      </c>
      <c r="C5" t="inlineStr">
        <is>
          <t>无锡生物质</t>
        </is>
      </c>
      <c r="D5" t="n">
        <v>2</v>
      </c>
      <c r="E5" t="inlineStr">
        <is>
          <t>93043200000000</t>
        </is>
      </c>
      <c r="F5" t="n">
        <v>283</v>
      </c>
      <c r="G5" t="n">
        <v>226.4</v>
      </c>
      <c r="H5" t="n">
        <v>72</v>
      </c>
      <c r="I5" t="n">
        <v>48</v>
      </c>
      <c r="J5" t="n">
        <v>339.6</v>
      </c>
      <c r="K5" t="n">
        <v>339.6</v>
      </c>
      <c r="L5" t="n">
        <v>8e-06</v>
      </c>
      <c r="M5" t="n">
        <v>0.012</v>
      </c>
      <c r="N5" t="n">
        <v>0.3</v>
      </c>
      <c r="O5" t="n">
        <v>3</v>
      </c>
      <c r="P5" t="n">
        <v>3</v>
      </c>
      <c r="Q5" t="n">
        <v>0</v>
      </c>
      <c r="R5" t="n">
        <v>283</v>
      </c>
      <c r="S5" t="n">
        <v>0</v>
      </c>
      <c r="T5" t="n">
        <v>0</v>
      </c>
      <c r="U5" t="n">
        <v>226.4</v>
      </c>
      <c r="V5" t="n">
        <v>21.25</v>
      </c>
      <c r="W5" t="n">
        <v>0</v>
      </c>
      <c r="X5" t="n">
        <v>283</v>
      </c>
      <c r="Y5" t="n">
        <v>283</v>
      </c>
      <c r="Z5" t="n">
        <v>0.04</v>
      </c>
      <c r="AA5" t="inlineStr">
        <is>
          <t>原值保留；补值为算例假设，见字段说明</t>
        </is>
      </c>
      <c r="AB5" t="n">
        <v>2264000</v>
      </c>
    </row>
    <row r="6" ht="34" customHeight="1">
      <c r="A6" t="inlineStr">
        <is>
          <t>BIO_0005</t>
        </is>
      </c>
      <c r="B6" t="inlineStr">
        <is>
          <t>930632000000000000</t>
        </is>
      </c>
      <c r="C6" t="inlineStr">
        <is>
          <t>苏州生物质</t>
        </is>
      </c>
      <c r="D6" t="n">
        <v>2</v>
      </c>
      <c r="E6" t="inlineStr">
        <is>
          <t>93043200000000</t>
        </is>
      </c>
      <c r="F6" t="n">
        <v>459.2</v>
      </c>
      <c r="G6" t="n">
        <v>367.36</v>
      </c>
      <c r="H6" t="n">
        <v>72</v>
      </c>
      <c r="I6" t="n">
        <v>48</v>
      </c>
      <c r="J6" t="n">
        <v>551.04</v>
      </c>
      <c r="K6" t="n">
        <v>551.04</v>
      </c>
      <c r="L6" t="n">
        <v>5e-06</v>
      </c>
      <c r="M6" t="n">
        <v>0.01</v>
      </c>
      <c r="N6" t="n">
        <v>0.5</v>
      </c>
      <c r="O6" t="n">
        <v>8</v>
      </c>
      <c r="P6" t="n">
        <v>8</v>
      </c>
      <c r="Q6" t="n">
        <v>0</v>
      </c>
      <c r="R6" t="n">
        <v>459.2</v>
      </c>
      <c r="S6" t="n">
        <v>0</v>
      </c>
      <c r="T6" t="n">
        <v>0</v>
      </c>
      <c r="U6" t="n">
        <v>367.36</v>
      </c>
      <c r="V6" t="n">
        <v>21.25</v>
      </c>
      <c r="W6" t="n">
        <v>0</v>
      </c>
      <c r="X6" t="n">
        <v>459.2</v>
      </c>
      <c r="Y6" t="n">
        <v>459.2</v>
      </c>
      <c r="Z6" t="n">
        <v>0.04</v>
      </c>
      <c r="AA6" t="inlineStr">
        <is>
          <t>原值保留；补值为算例假设，见字段说明</t>
        </is>
      </c>
      <c r="AB6" t="n">
        <v>3673600</v>
      </c>
    </row>
    <row r="7" ht="34" customHeight="1">
      <c r="A7" t="inlineStr">
        <is>
          <t>BIO_0006</t>
        </is>
      </c>
      <c r="B7" t="inlineStr">
        <is>
          <t>930632000000000000</t>
        </is>
      </c>
      <c r="C7" t="inlineStr">
        <is>
          <t>扬州生物质</t>
        </is>
      </c>
      <c r="D7" t="n">
        <v>3</v>
      </c>
      <c r="E7" t="inlineStr">
        <is>
          <t>93043200000000</t>
        </is>
      </c>
      <c r="F7" t="n">
        <v>149</v>
      </c>
      <c r="G7" t="n">
        <v>119.2</v>
      </c>
      <c r="H7" t="n">
        <v>72</v>
      </c>
      <c r="I7" t="n">
        <v>48</v>
      </c>
      <c r="J7" t="n">
        <v>178.8</v>
      </c>
      <c r="K7" t="n">
        <v>178.8</v>
      </c>
      <c r="L7" t="n">
        <v>8e-06</v>
      </c>
      <c r="M7" t="n">
        <v>0.012</v>
      </c>
      <c r="N7" t="n">
        <v>0.3</v>
      </c>
      <c r="O7" t="n">
        <v>3</v>
      </c>
      <c r="P7" t="n">
        <v>3</v>
      </c>
      <c r="Q7" t="n">
        <v>0</v>
      </c>
      <c r="R7" t="n">
        <v>149</v>
      </c>
      <c r="S7" t="n">
        <v>0</v>
      </c>
      <c r="T7" t="n">
        <v>0</v>
      </c>
      <c r="U7" t="n">
        <v>119.2</v>
      </c>
      <c r="V7" t="n">
        <v>21.25</v>
      </c>
      <c r="W7" t="n">
        <v>0</v>
      </c>
      <c r="X7" t="n">
        <v>149</v>
      </c>
      <c r="Y7" t="n">
        <v>149</v>
      </c>
      <c r="Z7" t="n">
        <v>0.04</v>
      </c>
      <c r="AA7" t="inlineStr">
        <is>
          <t>原值保留；补值为算例假设，见字段说明</t>
        </is>
      </c>
      <c r="AB7" t="n">
        <v>1192000</v>
      </c>
    </row>
    <row r="8" ht="34" customHeight="1">
      <c r="A8" t="inlineStr">
        <is>
          <t>BIO_0007</t>
        </is>
      </c>
      <c r="B8" t="inlineStr">
        <is>
          <t>930632000000000000</t>
        </is>
      </c>
      <c r="C8" t="inlineStr">
        <is>
          <t>泰州生物质</t>
        </is>
      </c>
      <c r="D8" t="n">
        <v>3</v>
      </c>
      <c r="E8" t="inlineStr">
        <is>
          <t>93043200000000</t>
        </is>
      </c>
      <c r="F8" t="n">
        <v>117.3</v>
      </c>
      <c r="G8" t="n">
        <v>93.84</v>
      </c>
      <c r="H8" t="n">
        <v>72</v>
      </c>
      <c r="I8" t="n">
        <v>48</v>
      </c>
      <c r="J8" t="n">
        <v>140.76</v>
      </c>
      <c r="K8" t="n">
        <v>140.76</v>
      </c>
      <c r="L8" t="n">
        <v>8e-06</v>
      </c>
      <c r="M8" t="n">
        <v>0.012</v>
      </c>
      <c r="N8" t="n">
        <v>0.3</v>
      </c>
      <c r="O8" t="n">
        <v>3</v>
      </c>
      <c r="P8" t="n">
        <v>3</v>
      </c>
      <c r="Q8" t="n">
        <v>0</v>
      </c>
      <c r="R8" t="n">
        <v>117.3</v>
      </c>
      <c r="S8" t="n">
        <v>0</v>
      </c>
      <c r="T8" t="n">
        <v>0</v>
      </c>
      <c r="U8" t="n">
        <v>93.84</v>
      </c>
      <c r="V8" t="n">
        <v>21.25</v>
      </c>
      <c r="W8" t="n">
        <v>0</v>
      </c>
      <c r="X8" t="n">
        <v>117.3</v>
      </c>
      <c r="Y8" t="n">
        <v>117.3</v>
      </c>
      <c r="Z8" t="n">
        <v>0.04</v>
      </c>
      <c r="AA8" t="inlineStr">
        <is>
          <t>原值保留；补值为算例假设，见字段说明</t>
        </is>
      </c>
      <c r="AB8" t="n">
        <v>938400</v>
      </c>
    </row>
    <row r="9" ht="34" customHeight="1">
      <c r="A9" t="inlineStr">
        <is>
          <t>BIO_0008</t>
        </is>
      </c>
      <c r="B9" t="inlineStr">
        <is>
          <t>930632000000000000</t>
        </is>
      </c>
      <c r="C9" t="inlineStr">
        <is>
          <t>徐州生物质</t>
        </is>
      </c>
      <c r="D9" t="n">
        <v>4</v>
      </c>
      <c r="E9" t="inlineStr">
        <is>
          <t>93043200000000</t>
        </is>
      </c>
      <c r="F9" t="n">
        <v>329.2</v>
      </c>
      <c r="G9" t="n">
        <v>263.36</v>
      </c>
      <c r="H9" t="n">
        <v>72</v>
      </c>
      <c r="I9" t="n">
        <v>48</v>
      </c>
      <c r="J9" t="n">
        <v>395.04</v>
      </c>
      <c r="K9" t="n">
        <v>395.04</v>
      </c>
      <c r="L9" t="n">
        <v>5e-06</v>
      </c>
      <c r="M9" t="n">
        <v>0.01</v>
      </c>
      <c r="N9" t="n">
        <v>0.5</v>
      </c>
      <c r="O9" t="n">
        <v>8</v>
      </c>
      <c r="P9" t="n">
        <v>8</v>
      </c>
      <c r="Q9" t="n">
        <v>0</v>
      </c>
      <c r="R9" t="n">
        <v>329.2</v>
      </c>
      <c r="S9" t="n">
        <v>0</v>
      </c>
      <c r="T9" t="n">
        <v>0</v>
      </c>
      <c r="U9" t="n">
        <v>263.36</v>
      </c>
      <c r="V9" t="n">
        <v>21.25</v>
      </c>
      <c r="W9" t="n">
        <v>0</v>
      </c>
      <c r="X9" t="n">
        <v>329.2</v>
      </c>
      <c r="Y9" t="n">
        <v>329.2</v>
      </c>
      <c r="Z9" t="n">
        <v>0.04</v>
      </c>
      <c r="AA9" t="inlineStr">
        <is>
          <t>原值保留；补值为算例假设，见字段说明</t>
        </is>
      </c>
      <c r="AB9" t="n">
        <v>2633600</v>
      </c>
    </row>
    <row r="10" ht="34" customHeight="1">
      <c r="A10" t="inlineStr">
        <is>
          <t>BIO_0009</t>
        </is>
      </c>
      <c r="B10" t="inlineStr">
        <is>
          <t>930632000000000000</t>
        </is>
      </c>
      <c r="C10" t="inlineStr">
        <is>
          <t>宿迁生物质</t>
        </is>
      </c>
      <c r="D10" t="n">
        <v>4</v>
      </c>
      <c r="E10" t="inlineStr">
        <is>
          <t>93043200000000</t>
        </is>
      </c>
      <c r="F10" t="n">
        <v>184.5</v>
      </c>
      <c r="G10" t="n">
        <v>147.6</v>
      </c>
      <c r="H10" t="n">
        <v>72</v>
      </c>
      <c r="I10" t="n">
        <v>48</v>
      </c>
      <c r="J10" t="n">
        <v>221.4</v>
      </c>
      <c r="K10" t="n">
        <v>221.4</v>
      </c>
      <c r="L10" t="n">
        <v>8e-06</v>
      </c>
      <c r="M10" t="n">
        <v>0.012</v>
      </c>
      <c r="N10" t="n">
        <v>0.3</v>
      </c>
      <c r="O10" t="n">
        <v>3</v>
      </c>
      <c r="P10" t="n">
        <v>3</v>
      </c>
      <c r="Q10" t="n">
        <v>0</v>
      </c>
      <c r="R10" t="n">
        <v>184.5</v>
      </c>
      <c r="S10" t="n">
        <v>0</v>
      </c>
      <c r="T10" t="n">
        <v>0</v>
      </c>
      <c r="U10" t="n">
        <v>147.6</v>
      </c>
      <c r="V10" t="n">
        <v>21.25</v>
      </c>
      <c r="W10" t="n">
        <v>0</v>
      </c>
      <c r="X10" t="n">
        <v>184.5</v>
      </c>
      <c r="Y10" t="n">
        <v>184.5</v>
      </c>
      <c r="Z10" t="n">
        <v>0.04</v>
      </c>
      <c r="AA10" t="inlineStr">
        <is>
          <t>原值保留；补值为算例假设，见字段说明</t>
        </is>
      </c>
      <c r="AB10" t="n">
        <v>1476000</v>
      </c>
    </row>
    <row r="11" ht="34" customHeight="1">
      <c r="A11" t="inlineStr">
        <is>
          <t>BIO_0010</t>
        </is>
      </c>
      <c r="B11" t="inlineStr">
        <is>
          <t>930632000000000000</t>
        </is>
      </c>
      <c r="C11" t="inlineStr">
        <is>
          <t>淮安生物质</t>
        </is>
      </c>
      <c r="D11" t="n">
        <v>4</v>
      </c>
      <c r="E11" t="inlineStr">
        <is>
          <t>93043200000000</t>
        </is>
      </c>
      <c r="F11" t="n">
        <v>194.5</v>
      </c>
      <c r="G11" t="n">
        <v>155.6</v>
      </c>
      <c r="H11" t="n">
        <v>72</v>
      </c>
      <c r="I11" t="n">
        <v>48</v>
      </c>
      <c r="J11" t="n">
        <v>233.4</v>
      </c>
      <c r="K11" t="n">
        <v>233.4</v>
      </c>
      <c r="L11" t="n">
        <v>8e-06</v>
      </c>
      <c r="M11" t="n">
        <v>0.012</v>
      </c>
      <c r="N11" t="n">
        <v>0.3</v>
      </c>
      <c r="O11" t="n">
        <v>3</v>
      </c>
      <c r="P11" t="n">
        <v>3</v>
      </c>
      <c r="Q11" t="n">
        <v>0</v>
      </c>
      <c r="R11" t="n">
        <v>194.5</v>
      </c>
      <c r="S11" t="n">
        <v>0</v>
      </c>
      <c r="T11" t="n">
        <v>0</v>
      </c>
      <c r="U11" t="n">
        <v>155.6</v>
      </c>
      <c r="V11" t="n">
        <v>21.25</v>
      </c>
      <c r="W11" t="n">
        <v>0</v>
      </c>
      <c r="X11" t="n">
        <v>194.5</v>
      </c>
      <c r="Y11" t="n">
        <v>194.5</v>
      </c>
      <c r="Z11" t="n">
        <v>0.04</v>
      </c>
      <c r="AA11" t="inlineStr">
        <is>
          <t>原值保留；补值为算例假设，见字段说明</t>
        </is>
      </c>
      <c r="AB11" t="n">
        <v>1556000</v>
      </c>
    </row>
    <row r="12" ht="34" customHeight="1">
      <c r="A12" t="inlineStr">
        <is>
          <t>BIO_0011</t>
        </is>
      </c>
      <c r="B12" t="inlineStr">
        <is>
          <t>930632000000000000</t>
        </is>
      </c>
      <c r="C12" t="inlineStr">
        <is>
          <t>连云港生物质</t>
        </is>
      </c>
      <c r="D12" t="n">
        <v>5</v>
      </c>
      <c r="E12" t="inlineStr">
        <is>
          <t>93043200000000</t>
        </is>
      </c>
      <c r="F12" t="n">
        <v>188</v>
      </c>
      <c r="G12" t="n">
        <v>150.4</v>
      </c>
      <c r="H12" t="n">
        <v>72</v>
      </c>
      <c r="I12" t="n">
        <v>48</v>
      </c>
      <c r="J12" t="n">
        <v>225.6</v>
      </c>
      <c r="K12" t="n">
        <v>225.6</v>
      </c>
      <c r="L12" t="n">
        <v>8e-06</v>
      </c>
      <c r="M12" t="n">
        <v>0.012</v>
      </c>
      <c r="N12" t="n">
        <v>0.3</v>
      </c>
      <c r="O12" t="n">
        <v>3</v>
      </c>
      <c r="P12" t="n">
        <v>3</v>
      </c>
      <c r="Q12" t="n">
        <v>0</v>
      </c>
      <c r="R12" t="n">
        <v>188</v>
      </c>
      <c r="S12" t="n">
        <v>0</v>
      </c>
      <c r="T12" t="n">
        <v>0</v>
      </c>
      <c r="U12" t="n">
        <v>150.4</v>
      </c>
      <c r="V12" t="n">
        <v>21.25</v>
      </c>
      <c r="W12" t="n">
        <v>0</v>
      </c>
      <c r="X12" t="n">
        <v>188</v>
      </c>
      <c r="Y12" t="n">
        <v>188</v>
      </c>
      <c r="Z12" t="n">
        <v>0.04</v>
      </c>
      <c r="AA12" t="inlineStr">
        <is>
          <t>原值保留；补值为算例假设，见字段说明</t>
        </is>
      </c>
      <c r="AB12" t="n">
        <v>1504000</v>
      </c>
    </row>
    <row r="13" ht="34" customHeight="1">
      <c r="A13" t="inlineStr">
        <is>
          <t>BIO_0012</t>
        </is>
      </c>
      <c r="B13" t="inlineStr">
        <is>
          <t>930632000000000000</t>
        </is>
      </c>
      <c r="C13" t="inlineStr">
        <is>
          <t>盐城生物质</t>
        </is>
      </c>
      <c r="D13" t="n">
        <v>5</v>
      </c>
      <c r="E13" t="inlineStr">
        <is>
          <t>93043200000000</t>
        </is>
      </c>
      <c r="F13" t="n">
        <v>326.5</v>
      </c>
      <c r="G13" t="n">
        <v>261.2</v>
      </c>
      <c r="H13" t="n">
        <v>72</v>
      </c>
      <c r="I13" t="n">
        <v>48</v>
      </c>
      <c r="J13" t="n">
        <v>391.8</v>
      </c>
      <c r="K13" t="n">
        <v>391.8</v>
      </c>
      <c r="L13" t="n">
        <v>5e-06</v>
      </c>
      <c r="M13" t="n">
        <v>0.01</v>
      </c>
      <c r="N13" t="n">
        <v>0.5</v>
      </c>
      <c r="O13" t="n">
        <v>8</v>
      </c>
      <c r="P13" t="n">
        <v>8</v>
      </c>
      <c r="Q13" t="n">
        <v>0</v>
      </c>
      <c r="R13" t="n">
        <v>326.5</v>
      </c>
      <c r="S13" t="n">
        <v>0</v>
      </c>
      <c r="T13" t="n">
        <v>0</v>
      </c>
      <c r="U13" t="n">
        <v>261.2</v>
      </c>
      <c r="V13" t="n">
        <v>21.25</v>
      </c>
      <c r="W13" t="n">
        <v>0</v>
      </c>
      <c r="X13" t="n">
        <v>326.5</v>
      </c>
      <c r="Y13" t="n">
        <v>326.5</v>
      </c>
      <c r="Z13" t="n">
        <v>0.04</v>
      </c>
      <c r="AA13" t="inlineStr">
        <is>
          <t>原值保留；补值为算例假设，见字段说明</t>
        </is>
      </c>
      <c r="AB13" t="n">
        <v>2612000</v>
      </c>
    </row>
    <row r="14" ht="34" customHeight="1">
      <c r="A14" t="inlineStr">
        <is>
          <t>BIO_0013</t>
        </is>
      </c>
      <c r="B14" t="inlineStr">
        <is>
          <t>930632000000000000</t>
        </is>
      </c>
      <c r="C14" t="inlineStr">
        <is>
          <t>南通生物质</t>
        </is>
      </c>
      <c r="D14" t="n">
        <v>5</v>
      </c>
      <c r="E14" t="inlineStr">
        <is>
          <t>93043200000000</t>
        </is>
      </c>
      <c r="F14" t="n">
        <v>228.5</v>
      </c>
      <c r="G14" t="n">
        <v>182.8</v>
      </c>
      <c r="H14" t="n">
        <v>72</v>
      </c>
      <c r="I14" t="n">
        <v>48</v>
      </c>
      <c r="J14" t="n">
        <v>274.2</v>
      </c>
      <c r="K14" t="n">
        <v>274.2</v>
      </c>
      <c r="L14" t="n">
        <v>8e-06</v>
      </c>
      <c r="M14" t="n">
        <v>0.012</v>
      </c>
      <c r="N14" t="n">
        <v>0.3</v>
      </c>
      <c r="O14" t="n">
        <v>3</v>
      </c>
      <c r="P14" t="n">
        <v>3</v>
      </c>
      <c r="Q14" t="n">
        <v>0</v>
      </c>
      <c r="R14" t="n">
        <v>228.5</v>
      </c>
      <c r="S14" t="n">
        <v>0</v>
      </c>
      <c r="T14" t="n">
        <v>0</v>
      </c>
      <c r="U14" t="n">
        <v>182.8</v>
      </c>
      <c r="V14" t="n">
        <v>21.25</v>
      </c>
      <c r="W14" t="n">
        <v>0</v>
      </c>
      <c r="X14" t="n">
        <v>228.5</v>
      </c>
      <c r="Y14" t="n">
        <v>228.5</v>
      </c>
      <c r="Z14" t="n">
        <v>0.04</v>
      </c>
      <c r="AA14" t="inlineStr">
        <is>
          <t>原值保留；补值为算例假设，见字段说明</t>
        </is>
      </c>
      <c r="AB14" t="n">
        <v>1828000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1"/>
    <col width="27" customWidth="1" min="2" max="2"/>
    <col width="30" customWidth="1" min="3" max="3"/>
    <col width="18" customWidth="1" min="4" max="4"/>
    <col width="27" customWidth="1" min="5" max="5"/>
    <col width="18" customWidth="1" min="6" max="21"/>
  </cols>
  <sheetData>
    <row r="1" ht="44" customHeight="1">
      <c r="A1" s="1" t="inlineStr">
        <is>
          <t>UnitKey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SUBSTR(C.ID，12)</t>
        </is>
      </c>
      <c r="E1" s="1" t="inlineStr">
        <is>
          <t>PLANT_ID</t>
        </is>
      </c>
      <c r="F1" s="1" t="inlineStr">
        <is>
          <t>CAP</t>
        </is>
      </c>
      <c r="G1" s="1" t="inlineStr">
        <is>
          <t>MIN_POWER_GEN</t>
        </is>
      </c>
      <c r="H1" s="1" t="inlineStr">
        <is>
          <t>MIN_DOWN_TIME</t>
        </is>
      </c>
      <c r="I1" s="1" t="inlineStr">
        <is>
          <t>MIN_UP_TIME</t>
        </is>
      </c>
      <c r="J1" s="1" t="inlineStr">
        <is>
          <t>RAMP_LIMIT_UP</t>
        </is>
      </c>
      <c r="K1" s="1" t="inlineStr">
        <is>
          <t>RAMP_LIMIT_DOWN</t>
        </is>
      </c>
      <c r="L1" s="1" t="inlineStr">
        <is>
          <t>COST_A</t>
        </is>
      </c>
      <c r="M1" s="1" t="inlineStr">
        <is>
          <t>COST_B</t>
        </is>
      </c>
      <c r="N1" s="1" t="inlineStr">
        <is>
          <t>COST_C</t>
        </is>
      </c>
      <c r="O1" s="1" t="inlineStr">
        <is>
          <t>COST_START_UP</t>
        </is>
      </c>
      <c r="P1" s="1" t="inlineStr">
        <is>
          <t>COST_SHUT_DOWN</t>
        </is>
      </c>
      <c r="Q1" s="1" t="inlineStr">
        <is>
          <t>MIN_POWER_CHARGE</t>
        </is>
      </c>
      <c r="R1" s="1" t="inlineStr">
        <is>
          <t>MAX_POWER_CHARGE</t>
        </is>
      </c>
      <c r="S1" s="1" t="inlineStr">
        <is>
          <t>GEN_AFFI_FACTOR</t>
        </is>
      </c>
      <c r="T1" s="1" t="inlineStr">
        <is>
          <t>CHAEGE_AFFI_FACTOR</t>
        </is>
      </c>
      <c r="U1" s="1" t="inlineStr">
        <is>
          <t>DataStatus</t>
        </is>
      </c>
    </row>
    <row r="2" ht="23" customHeight="1">
      <c r="A2" s="6" t="inlineStr">
        <is>
          <t>PLAN_0001</t>
        </is>
      </c>
      <c r="B2" s="6" t="inlineStr">
        <is>
          <t>930632000000000000</t>
        </is>
      </c>
      <c r="C2" s="5" t="inlineStr">
        <is>
          <t>南京其他规划</t>
        </is>
      </c>
      <c r="D2" s="6" t="n">
        <v>1</v>
      </c>
      <c r="E2" s="6" t="inlineStr">
        <is>
          <t>93043200000000</t>
        </is>
      </c>
      <c r="F2" s="5" t="n">
        <v>50</v>
      </c>
      <c r="G2" s="5" t="n">
        <v>40.3361</v>
      </c>
      <c r="H2" s="5" t="n">
        <v>72</v>
      </c>
      <c r="I2" s="5" t="n">
        <v>48</v>
      </c>
      <c r="J2" s="5" t="n">
        <v>60</v>
      </c>
      <c r="K2" s="5" t="n">
        <v>60</v>
      </c>
      <c r="L2" s="5" t="n">
        <v>8e-06</v>
      </c>
      <c r="M2" s="5" t="n">
        <v>0.012</v>
      </c>
      <c r="N2" s="5" t="n">
        <v>0.3</v>
      </c>
      <c r="O2" s="5" t="n">
        <v>3</v>
      </c>
      <c r="P2" s="5" t="n">
        <v>3</v>
      </c>
      <c r="Q2" s="5" t="n">
        <v>0</v>
      </c>
      <c r="R2" s="5" t="n">
        <v>50.4202</v>
      </c>
      <c r="S2" s="5" t="n">
        <v>0</v>
      </c>
      <c r="T2" s="5" t="n">
        <v>0</v>
      </c>
      <c r="U2" s="5" t="inlineStr">
        <is>
          <t>原始规划资料，未纳入在役调度</t>
        </is>
      </c>
    </row>
    <row r="3" ht="23" customHeight="1">
      <c r="A3" s="6" t="inlineStr">
        <is>
          <t>PLAN_0002</t>
        </is>
      </c>
      <c r="B3" s="6" t="inlineStr">
        <is>
          <t>930632000000000000</t>
        </is>
      </c>
      <c r="C3" s="5" t="inlineStr">
        <is>
          <t>镇江其他规划</t>
        </is>
      </c>
      <c r="D3" s="6" t="n">
        <v>1</v>
      </c>
      <c r="E3" s="6" t="inlineStr">
        <is>
          <t>93043200000000</t>
        </is>
      </c>
      <c r="F3" s="5" t="n">
        <v>50</v>
      </c>
      <c r="G3" s="5" t="n">
        <v>40.3361</v>
      </c>
      <c r="H3" s="5" t="n">
        <v>72</v>
      </c>
      <c r="I3" s="5" t="n">
        <v>48</v>
      </c>
      <c r="J3" s="5" t="n">
        <v>60</v>
      </c>
      <c r="K3" s="5" t="n">
        <v>60</v>
      </c>
      <c r="L3" s="5" t="n">
        <v>8e-06</v>
      </c>
      <c r="M3" s="5" t="n">
        <v>0.012</v>
      </c>
      <c r="N3" s="5" t="n">
        <v>0.3</v>
      </c>
      <c r="O3" s="5" t="n">
        <v>3</v>
      </c>
      <c r="P3" s="5" t="n">
        <v>3</v>
      </c>
      <c r="Q3" s="5" t="n">
        <v>0</v>
      </c>
      <c r="R3" s="5" t="n">
        <v>50.4202</v>
      </c>
      <c r="S3" s="5" t="n">
        <v>0</v>
      </c>
      <c r="T3" s="5" t="n">
        <v>0</v>
      </c>
      <c r="U3" s="5" t="inlineStr">
        <is>
          <t>原始规划资料，未纳入在役调度</t>
        </is>
      </c>
    </row>
    <row r="4" ht="23" customHeight="1">
      <c r="A4" s="6" t="inlineStr">
        <is>
          <t>PLAN_0003</t>
        </is>
      </c>
      <c r="B4" s="6" t="inlineStr">
        <is>
          <t>930632000000000000</t>
        </is>
      </c>
      <c r="C4" s="5" t="inlineStr">
        <is>
          <t>常州其他规划</t>
        </is>
      </c>
      <c r="D4" s="6" t="n">
        <v>1</v>
      </c>
      <c r="E4" s="6" t="inlineStr">
        <is>
          <t>93043200000000</t>
        </is>
      </c>
      <c r="F4" s="5" t="n">
        <v>50</v>
      </c>
      <c r="G4" s="5" t="n">
        <v>40.3361</v>
      </c>
      <c r="H4" s="5" t="n">
        <v>72</v>
      </c>
      <c r="I4" s="5" t="n">
        <v>48</v>
      </c>
      <c r="J4" s="5" t="n">
        <v>60</v>
      </c>
      <c r="K4" s="5" t="n">
        <v>60</v>
      </c>
      <c r="L4" s="5" t="n">
        <v>8e-06</v>
      </c>
      <c r="M4" s="5" t="n">
        <v>0.012</v>
      </c>
      <c r="N4" s="5" t="n">
        <v>0.3</v>
      </c>
      <c r="O4" s="5" t="n">
        <v>3</v>
      </c>
      <c r="P4" s="5" t="n">
        <v>3</v>
      </c>
      <c r="Q4" s="5" t="n">
        <v>0</v>
      </c>
      <c r="R4" s="5" t="n">
        <v>50.4202</v>
      </c>
      <c r="S4" s="5" t="n">
        <v>0</v>
      </c>
      <c r="T4" s="5" t="n">
        <v>0</v>
      </c>
      <c r="U4" s="5" t="inlineStr">
        <is>
          <t>原始规划资料，未纳入在役调度</t>
        </is>
      </c>
    </row>
    <row r="5" ht="23" customHeight="1">
      <c r="A5" s="6" t="inlineStr">
        <is>
          <t>PLAN_0004</t>
        </is>
      </c>
      <c r="B5" s="6" t="inlineStr">
        <is>
          <t>930632000000000000</t>
        </is>
      </c>
      <c r="C5" s="5" t="inlineStr">
        <is>
          <t>无锡其他规划</t>
        </is>
      </c>
      <c r="D5" s="6" t="n">
        <v>2</v>
      </c>
      <c r="E5" s="6" t="inlineStr">
        <is>
          <t>93043200000000</t>
        </is>
      </c>
      <c r="F5" s="5" t="n">
        <v>50</v>
      </c>
      <c r="G5" s="5" t="n">
        <v>40.3361</v>
      </c>
      <c r="H5" s="5" t="n">
        <v>72</v>
      </c>
      <c r="I5" s="5" t="n">
        <v>48</v>
      </c>
      <c r="J5" s="5" t="n">
        <v>60</v>
      </c>
      <c r="K5" s="5" t="n">
        <v>60</v>
      </c>
      <c r="L5" s="5" t="n">
        <v>8e-06</v>
      </c>
      <c r="M5" s="5" t="n">
        <v>0.012</v>
      </c>
      <c r="N5" s="5" t="n">
        <v>0.3</v>
      </c>
      <c r="O5" s="5" t="n">
        <v>3</v>
      </c>
      <c r="P5" s="5" t="n">
        <v>3</v>
      </c>
      <c r="Q5" s="5" t="n">
        <v>0</v>
      </c>
      <c r="R5" s="5" t="n">
        <v>50.4202</v>
      </c>
      <c r="S5" s="5" t="n">
        <v>0</v>
      </c>
      <c r="T5" s="5" t="n">
        <v>0</v>
      </c>
      <c r="U5" s="5" t="inlineStr">
        <is>
          <t>原始规划资料，未纳入在役调度</t>
        </is>
      </c>
    </row>
    <row r="6" ht="23" customHeight="1">
      <c r="A6" s="6" t="inlineStr">
        <is>
          <t>PLAN_0005</t>
        </is>
      </c>
      <c r="B6" s="6" t="inlineStr">
        <is>
          <t>930632000000000000</t>
        </is>
      </c>
      <c r="C6" s="5" t="inlineStr">
        <is>
          <t>苏州其他规划</t>
        </is>
      </c>
      <c r="D6" s="6" t="n">
        <v>2</v>
      </c>
      <c r="E6" s="6" t="inlineStr">
        <is>
          <t>93043200000000</t>
        </is>
      </c>
      <c r="F6" s="5" t="n">
        <v>100</v>
      </c>
      <c r="G6" s="5" t="n">
        <v>80.6722</v>
      </c>
      <c r="H6" s="5" t="n">
        <v>72</v>
      </c>
      <c r="I6" s="5" t="n">
        <v>48</v>
      </c>
      <c r="J6" s="5" t="n">
        <v>120</v>
      </c>
      <c r="K6" s="5" t="n">
        <v>120</v>
      </c>
      <c r="L6" s="5" t="n">
        <v>3e-06</v>
      </c>
      <c r="M6" s="5" t="n">
        <v>0.008</v>
      </c>
      <c r="N6" s="5" t="n">
        <v>0.8</v>
      </c>
      <c r="O6" s="5" t="n">
        <v>30</v>
      </c>
      <c r="P6" s="5" t="n">
        <v>30</v>
      </c>
      <c r="Q6" s="5" t="n">
        <v>0</v>
      </c>
      <c r="R6" s="5" t="n">
        <v>756.3025</v>
      </c>
      <c r="S6" s="5" t="n">
        <v>0</v>
      </c>
      <c r="T6" s="5" t="n">
        <v>0</v>
      </c>
      <c r="U6" s="5" t="inlineStr">
        <is>
          <t>原始规划资料，未纳入在役调度</t>
        </is>
      </c>
    </row>
    <row r="7" ht="23" customHeight="1">
      <c r="A7" s="6" t="inlineStr">
        <is>
          <t>PLAN_0006</t>
        </is>
      </c>
      <c r="B7" s="6" t="inlineStr">
        <is>
          <t>930632000000000000</t>
        </is>
      </c>
      <c r="C7" s="5" t="inlineStr">
        <is>
          <t>扬州其他规划</t>
        </is>
      </c>
      <c r="D7" s="6" t="n">
        <v>3</v>
      </c>
      <c r="E7" s="6" t="inlineStr">
        <is>
          <t>93043200000000</t>
        </is>
      </c>
      <c r="F7" s="5" t="n">
        <v>50</v>
      </c>
      <c r="G7" s="5" t="n">
        <v>40.3361</v>
      </c>
      <c r="H7" s="5" t="n">
        <v>72</v>
      </c>
      <c r="I7" s="5" t="n">
        <v>48</v>
      </c>
      <c r="J7" s="5" t="n">
        <v>60</v>
      </c>
      <c r="K7" s="5" t="n">
        <v>60</v>
      </c>
      <c r="L7" s="5" t="n">
        <v>8e-06</v>
      </c>
      <c r="M7" s="5" t="n">
        <v>0.012</v>
      </c>
      <c r="N7" s="5" t="n">
        <v>0.3</v>
      </c>
      <c r="O7" s="5" t="n">
        <v>3</v>
      </c>
      <c r="P7" s="5" t="n">
        <v>3</v>
      </c>
      <c r="Q7" s="5" t="n">
        <v>0</v>
      </c>
      <c r="R7" s="5" t="n">
        <v>50.4202</v>
      </c>
      <c r="S7" s="5" t="n">
        <v>0</v>
      </c>
      <c r="T7" s="5" t="n">
        <v>0</v>
      </c>
      <c r="U7" s="5" t="inlineStr">
        <is>
          <t>原始规划资料，未纳入在役调度</t>
        </is>
      </c>
    </row>
    <row r="8" ht="23" customHeight="1">
      <c r="A8" s="6" t="inlineStr">
        <is>
          <t>PLAN_0007</t>
        </is>
      </c>
      <c r="B8" s="6" t="inlineStr">
        <is>
          <t>930632000000000000</t>
        </is>
      </c>
      <c r="C8" s="5" t="inlineStr">
        <is>
          <t>泰州其他规划</t>
        </is>
      </c>
      <c r="D8" s="6" t="n">
        <v>3</v>
      </c>
      <c r="E8" s="6" t="inlineStr">
        <is>
          <t>93043200000000</t>
        </is>
      </c>
      <c r="F8" s="5" t="n">
        <v>50</v>
      </c>
      <c r="G8" s="5" t="n">
        <v>40.3361</v>
      </c>
      <c r="H8" s="5" t="n">
        <v>72</v>
      </c>
      <c r="I8" s="5" t="n">
        <v>48</v>
      </c>
      <c r="J8" s="5" t="n">
        <v>60</v>
      </c>
      <c r="K8" s="5" t="n">
        <v>60</v>
      </c>
      <c r="L8" s="5" t="n">
        <v>8e-06</v>
      </c>
      <c r="M8" s="5" t="n">
        <v>0.012</v>
      </c>
      <c r="N8" s="5" t="n">
        <v>0.3</v>
      </c>
      <c r="O8" s="5" t="n">
        <v>3</v>
      </c>
      <c r="P8" s="5" t="n">
        <v>3</v>
      </c>
      <c r="Q8" s="5" t="n">
        <v>0</v>
      </c>
      <c r="R8" s="5" t="n">
        <v>50.4202</v>
      </c>
      <c r="S8" s="5" t="n">
        <v>0</v>
      </c>
      <c r="T8" s="5" t="n">
        <v>0</v>
      </c>
      <c r="U8" s="5" t="inlineStr">
        <is>
          <t>原始规划资料，未纳入在役调度</t>
        </is>
      </c>
    </row>
    <row r="9" ht="23" customHeight="1">
      <c r="A9" s="6" t="inlineStr">
        <is>
          <t>PLAN_0008</t>
        </is>
      </c>
      <c r="B9" s="6" t="inlineStr">
        <is>
          <t>930632000000000000</t>
        </is>
      </c>
      <c r="C9" s="5" t="inlineStr">
        <is>
          <t>徐州其他规划</t>
        </is>
      </c>
      <c r="D9" s="6" t="n">
        <v>4</v>
      </c>
      <c r="E9" s="6" t="inlineStr">
        <is>
          <t>93043200000000</t>
        </is>
      </c>
      <c r="F9" s="5" t="n">
        <v>50</v>
      </c>
      <c r="G9" s="5" t="n">
        <v>40.3361</v>
      </c>
      <c r="H9" s="5" t="n">
        <v>72</v>
      </c>
      <c r="I9" s="5" t="n">
        <v>48</v>
      </c>
      <c r="J9" s="5" t="n">
        <v>60</v>
      </c>
      <c r="K9" s="5" t="n">
        <v>60</v>
      </c>
      <c r="L9" s="5" t="n">
        <v>8e-06</v>
      </c>
      <c r="M9" s="5" t="n">
        <v>0.012</v>
      </c>
      <c r="N9" s="5" t="n">
        <v>0.3</v>
      </c>
      <c r="O9" s="5" t="n">
        <v>3</v>
      </c>
      <c r="P9" s="5" t="n">
        <v>3</v>
      </c>
      <c r="Q9" s="5" t="n">
        <v>0</v>
      </c>
      <c r="R9" s="5" t="n">
        <v>50.4202</v>
      </c>
      <c r="S9" s="5" t="n">
        <v>0</v>
      </c>
      <c r="T9" s="5" t="n">
        <v>0</v>
      </c>
      <c r="U9" s="5" t="inlineStr">
        <is>
          <t>原始规划资料，未纳入在役调度</t>
        </is>
      </c>
    </row>
    <row r="10" ht="23" customHeight="1">
      <c r="A10" s="6" t="inlineStr">
        <is>
          <t>PLAN_0009</t>
        </is>
      </c>
      <c r="B10" s="6" t="inlineStr">
        <is>
          <t>930632000000000000</t>
        </is>
      </c>
      <c r="C10" s="5" t="inlineStr">
        <is>
          <t>宿迁其他规划</t>
        </is>
      </c>
      <c r="D10" s="6" t="n">
        <v>4</v>
      </c>
      <c r="E10" s="6" t="inlineStr">
        <is>
          <t>93043200000000</t>
        </is>
      </c>
      <c r="F10" s="5" t="n">
        <v>50</v>
      </c>
      <c r="G10" s="5" t="n">
        <v>40.3361</v>
      </c>
      <c r="H10" s="5" t="n">
        <v>72</v>
      </c>
      <c r="I10" s="5" t="n">
        <v>48</v>
      </c>
      <c r="J10" s="5" t="n">
        <v>60</v>
      </c>
      <c r="K10" s="5" t="n">
        <v>60</v>
      </c>
      <c r="L10" s="5" t="n">
        <v>8e-06</v>
      </c>
      <c r="M10" s="5" t="n">
        <v>0.012</v>
      </c>
      <c r="N10" s="5" t="n">
        <v>0.3</v>
      </c>
      <c r="O10" s="5" t="n">
        <v>3</v>
      </c>
      <c r="P10" s="5" t="n">
        <v>3</v>
      </c>
      <c r="Q10" s="5" t="n">
        <v>0</v>
      </c>
      <c r="R10" s="5" t="n">
        <v>50.4202</v>
      </c>
      <c r="S10" s="5" t="n">
        <v>0</v>
      </c>
      <c r="T10" s="5" t="n">
        <v>0</v>
      </c>
      <c r="U10" s="5" t="inlineStr">
        <is>
          <t>原始规划资料，未纳入在役调度</t>
        </is>
      </c>
    </row>
    <row r="11" ht="23" customHeight="1">
      <c r="A11" s="6" t="inlineStr">
        <is>
          <t>PLAN_0010</t>
        </is>
      </c>
      <c r="B11" s="6" t="inlineStr">
        <is>
          <t>930632000000000000</t>
        </is>
      </c>
      <c r="C11" s="5" t="inlineStr">
        <is>
          <t>淮安其他规划</t>
        </is>
      </c>
      <c r="D11" s="6" t="n">
        <v>4</v>
      </c>
      <c r="E11" s="6" t="inlineStr">
        <is>
          <t>93043200000000</t>
        </is>
      </c>
      <c r="F11" s="5" t="n">
        <v>50</v>
      </c>
      <c r="G11" s="5" t="n">
        <v>40.3361</v>
      </c>
      <c r="H11" s="5" t="n">
        <v>72</v>
      </c>
      <c r="I11" s="5" t="n">
        <v>48</v>
      </c>
      <c r="J11" s="5" t="n">
        <v>60</v>
      </c>
      <c r="K11" s="5" t="n">
        <v>60</v>
      </c>
      <c r="L11" s="5" t="n">
        <v>8e-06</v>
      </c>
      <c r="M11" s="5" t="n">
        <v>0.012</v>
      </c>
      <c r="N11" s="5" t="n">
        <v>0.3</v>
      </c>
      <c r="O11" s="5" t="n">
        <v>3</v>
      </c>
      <c r="P11" s="5" t="n">
        <v>3</v>
      </c>
      <c r="Q11" s="5" t="n">
        <v>0</v>
      </c>
      <c r="R11" s="5" t="n">
        <v>50.4202</v>
      </c>
      <c r="S11" s="5" t="n">
        <v>0</v>
      </c>
      <c r="T11" s="5" t="n">
        <v>0</v>
      </c>
      <c r="U11" s="5" t="inlineStr">
        <is>
          <t>原始规划资料，未纳入在役调度</t>
        </is>
      </c>
    </row>
    <row r="12" ht="23" customHeight="1">
      <c r="A12" s="6" t="inlineStr">
        <is>
          <t>PLAN_0011</t>
        </is>
      </c>
      <c r="B12" s="6" t="inlineStr">
        <is>
          <t>930632000000000000</t>
        </is>
      </c>
      <c r="C12" s="5" t="inlineStr">
        <is>
          <t>连云港其他规划</t>
        </is>
      </c>
      <c r="D12" s="6" t="n">
        <v>5</v>
      </c>
      <c r="E12" s="6" t="inlineStr">
        <is>
          <t>93043200000000</t>
        </is>
      </c>
      <c r="F12" s="5" t="n">
        <v>50</v>
      </c>
      <c r="G12" s="5" t="n">
        <v>40.3361</v>
      </c>
      <c r="H12" s="5" t="n">
        <v>72</v>
      </c>
      <c r="I12" s="5" t="n">
        <v>48</v>
      </c>
      <c r="J12" s="5" t="n">
        <v>60</v>
      </c>
      <c r="K12" s="5" t="n">
        <v>60</v>
      </c>
      <c r="L12" s="5" t="n">
        <v>8e-06</v>
      </c>
      <c r="M12" s="5" t="n">
        <v>0.012</v>
      </c>
      <c r="N12" s="5" t="n">
        <v>0.3</v>
      </c>
      <c r="O12" s="5" t="n">
        <v>3</v>
      </c>
      <c r="P12" s="5" t="n">
        <v>3</v>
      </c>
      <c r="Q12" s="5" t="n">
        <v>0</v>
      </c>
      <c r="R12" s="5" t="n">
        <v>50.4202</v>
      </c>
      <c r="S12" s="5" t="n">
        <v>0</v>
      </c>
      <c r="T12" s="5" t="n">
        <v>0</v>
      </c>
      <c r="U12" s="5" t="inlineStr">
        <is>
          <t>原始规划资料，未纳入在役调度</t>
        </is>
      </c>
    </row>
    <row r="13" ht="23" customHeight="1">
      <c r="A13" s="6" t="inlineStr">
        <is>
          <t>PLAN_0012</t>
        </is>
      </c>
      <c r="B13" s="6" t="inlineStr">
        <is>
          <t>930632000000000000</t>
        </is>
      </c>
      <c r="C13" s="5" t="inlineStr">
        <is>
          <t>盐城其他规划</t>
        </is>
      </c>
      <c r="D13" s="6" t="n">
        <v>5</v>
      </c>
      <c r="E13" s="6" t="inlineStr">
        <is>
          <t>93043200000000</t>
        </is>
      </c>
      <c r="F13" s="5" t="n">
        <v>50</v>
      </c>
      <c r="G13" s="5" t="n">
        <v>40.3361</v>
      </c>
      <c r="H13" s="5" t="n">
        <v>72</v>
      </c>
      <c r="I13" s="5" t="n">
        <v>48</v>
      </c>
      <c r="J13" s="5" t="n">
        <v>60</v>
      </c>
      <c r="K13" s="5" t="n">
        <v>60</v>
      </c>
      <c r="L13" s="5" t="n">
        <v>8e-06</v>
      </c>
      <c r="M13" s="5" t="n">
        <v>0.012</v>
      </c>
      <c r="N13" s="5" t="n">
        <v>0.3</v>
      </c>
      <c r="O13" s="5" t="n">
        <v>3</v>
      </c>
      <c r="P13" s="5" t="n">
        <v>3</v>
      </c>
      <c r="Q13" s="5" t="n">
        <v>0</v>
      </c>
      <c r="R13" s="5" t="n">
        <v>50.4202</v>
      </c>
      <c r="S13" s="5" t="n">
        <v>0</v>
      </c>
      <c r="T13" s="5" t="n">
        <v>0</v>
      </c>
      <c r="U13" s="5" t="inlineStr">
        <is>
          <t>原始规划资料，未纳入在役调度</t>
        </is>
      </c>
    </row>
    <row r="14" ht="23" customHeight="1">
      <c r="A14" s="6" t="inlineStr">
        <is>
          <t>PLAN_0013</t>
        </is>
      </c>
      <c r="B14" s="6" t="inlineStr">
        <is>
          <t>930632000000000000</t>
        </is>
      </c>
      <c r="C14" s="5" t="inlineStr">
        <is>
          <t>南通其他规划</t>
        </is>
      </c>
      <c r="D14" s="6" t="n">
        <v>5</v>
      </c>
      <c r="E14" s="6" t="inlineStr">
        <is>
          <t>93043200000000</t>
        </is>
      </c>
      <c r="F14" s="5" t="n">
        <v>50</v>
      </c>
      <c r="G14" s="5" t="n">
        <v>40.3361</v>
      </c>
      <c r="H14" s="5" t="n">
        <v>72</v>
      </c>
      <c r="I14" s="5" t="n">
        <v>48</v>
      </c>
      <c r="J14" s="5" t="n">
        <v>60</v>
      </c>
      <c r="K14" s="5" t="n">
        <v>60</v>
      </c>
      <c r="L14" s="5" t="n">
        <v>8e-06</v>
      </c>
      <c r="M14" s="5" t="n">
        <v>0.012</v>
      </c>
      <c r="N14" s="5" t="n">
        <v>0.3</v>
      </c>
      <c r="O14" s="5" t="n">
        <v>3</v>
      </c>
      <c r="P14" s="5" t="n">
        <v>3</v>
      </c>
      <c r="Q14" s="5" t="n">
        <v>0</v>
      </c>
      <c r="R14" s="5" t="n">
        <v>50.4202</v>
      </c>
      <c r="S14" s="5" t="n">
        <v>0</v>
      </c>
      <c r="T14" s="5" t="n">
        <v>0</v>
      </c>
      <c r="U14" s="5" t="inlineStr">
        <is>
          <t>原始规划资料，未纳入在役调度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" sqref="D2:D6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W_0001</t>
        </is>
      </c>
      <c r="B2" s="5" t="n">
        <v>1</v>
      </c>
      <c r="C2" s="5" t="inlineStr">
        <is>
          <t>徐宿淮</t>
        </is>
      </c>
      <c r="D2" s="5" t="n">
        <v>3808.15</v>
      </c>
      <c r="E2" s="8" t="n">
        <v>10</v>
      </c>
      <c r="F2" s="2" t="inlineStr">
        <is>
          <t>原值保留；补值为算例假设，见字段说明</t>
        </is>
      </c>
    </row>
    <row r="3" ht="34" customHeight="1">
      <c r="A3" s="6" t="inlineStr">
        <is>
          <t>W_0002</t>
        </is>
      </c>
      <c r="B3" s="5" t="n">
        <v>2</v>
      </c>
      <c r="C3" s="5" t="inlineStr">
        <is>
          <t>连盐通</t>
        </is>
      </c>
      <c r="D3" s="5" t="n">
        <v>17655.73</v>
      </c>
      <c r="E3" s="8" t="n">
        <v>10</v>
      </c>
      <c r="F3" s="2" t="inlineStr">
        <is>
          <t>原值保留；补值为算例假设，见字段说明</t>
        </is>
      </c>
    </row>
    <row r="4" ht="34" customHeight="1">
      <c r="A4" s="6" t="inlineStr">
        <is>
          <t>W_0003</t>
        </is>
      </c>
      <c r="B4" s="5" t="n">
        <v>3</v>
      </c>
      <c r="C4" s="5" t="inlineStr">
        <is>
          <t>扬泰</t>
        </is>
      </c>
      <c r="D4" s="5" t="n">
        <v>1473.07</v>
      </c>
      <c r="E4" s="8" t="n">
        <v>10</v>
      </c>
      <c r="F4" s="2" t="inlineStr">
        <is>
          <t>原值保留；补值为算例假设，见字段说明</t>
        </is>
      </c>
    </row>
    <row r="5" ht="34" customHeight="1">
      <c r="A5" s="6" t="inlineStr">
        <is>
          <t>W_0004</t>
        </is>
      </c>
      <c r="B5" s="5" t="n">
        <v>4</v>
      </c>
      <c r="C5" s="5" t="inlineStr">
        <is>
          <t>宁镇常</t>
        </is>
      </c>
      <c r="D5" s="5" t="n">
        <v>100</v>
      </c>
      <c r="E5" s="8" t="n">
        <v>10</v>
      </c>
      <c r="F5" s="2" t="inlineStr">
        <is>
          <t>原值保留；补值为算例假设，见字段说明</t>
        </is>
      </c>
    </row>
    <row r="6" ht="34" customHeight="1">
      <c r="A6" s="6" t="inlineStr">
        <is>
          <t>W_0005</t>
        </is>
      </c>
      <c r="B6" s="5" t="n">
        <v>5</v>
      </c>
      <c r="C6" s="5" t="inlineStr">
        <is>
          <t>锡苏</t>
        </is>
      </c>
      <c r="D6" s="5" t="n">
        <v>177.62</v>
      </c>
      <c r="E6" s="8" t="n">
        <v>10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14" sqref="D14"/>
    </sheetView>
  </sheetViews>
  <sheetFormatPr baseColWidth="8" defaultColWidth="9" defaultRowHeight="14.25" outlineLevelRow="5"/>
  <cols>
    <col width="18" customWidth="1" min="1" max="5"/>
    <col width="48" customWidth="1" min="6" max="6"/>
  </cols>
  <sheetData>
    <row r="1" ht="46" customHeight="1">
      <c r="A1" s="1" t="inlineStr">
        <is>
          <t>UnitKey</t>
        </is>
      </c>
      <c r="B1" s="1" t="inlineStr">
        <is>
          <t>分区编号</t>
        </is>
      </c>
      <c r="C1" s="1" t="inlineStr">
        <is>
          <t>分区名称</t>
        </is>
      </c>
      <c r="D1" s="1" t="inlineStr">
        <is>
          <t>装机容量_MW</t>
        </is>
      </c>
      <c r="E1" s="1" t="inlineStr">
        <is>
          <t>FOM_COST_PERIOD</t>
        </is>
      </c>
      <c r="F1" s="1" t="inlineStr">
        <is>
          <t>DataStatus</t>
        </is>
      </c>
    </row>
    <row r="2" ht="34" customHeight="1">
      <c r="A2" s="6" t="inlineStr">
        <is>
          <t>PV_0001</t>
        </is>
      </c>
      <c r="B2" s="5" t="n">
        <v>1</v>
      </c>
      <c r="C2" s="5" t="inlineStr">
        <is>
          <t>徐宿淮</t>
        </is>
      </c>
      <c r="D2" s="5" t="n">
        <v>15414.47</v>
      </c>
      <c r="E2" s="8" t="n">
        <v>3</v>
      </c>
      <c r="F2" s="2" t="inlineStr">
        <is>
          <t>原值保留；补值为算例假设，见字段说明</t>
        </is>
      </c>
    </row>
    <row r="3" ht="34" customHeight="1">
      <c r="A3" s="6" t="inlineStr">
        <is>
          <t>PV_0002</t>
        </is>
      </c>
      <c r="B3" s="5" t="n">
        <v>2</v>
      </c>
      <c r="C3" s="5" t="inlineStr">
        <is>
          <t>连盐通</t>
        </is>
      </c>
      <c r="D3" s="5" t="n">
        <v>19291.9</v>
      </c>
      <c r="E3" s="8" t="n">
        <v>3</v>
      </c>
      <c r="F3" s="2" t="inlineStr">
        <is>
          <t>原值保留；补值为算例假设，见字段说明</t>
        </is>
      </c>
    </row>
    <row r="4" ht="34" customHeight="1">
      <c r="A4" s="6" t="inlineStr">
        <is>
          <t>PV_0003</t>
        </is>
      </c>
      <c r="B4" s="5" t="n">
        <v>3</v>
      </c>
      <c r="C4" s="5" t="inlineStr">
        <is>
          <t>扬泰</t>
        </is>
      </c>
      <c r="D4" s="5" t="n">
        <v>7729.79</v>
      </c>
      <c r="E4" s="8" t="n">
        <v>3</v>
      </c>
      <c r="F4" s="2" t="inlineStr">
        <is>
          <t>原值保留；补值为算例假设，见字段说明</t>
        </is>
      </c>
    </row>
    <row r="5" ht="34" customHeight="1">
      <c r="A5" s="6" t="inlineStr">
        <is>
          <t>PV_0004</t>
        </is>
      </c>
      <c r="B5" s="5" t="n">
        <v>4</v>
      </c>
      <c r="C5" s="5" t="inlineStr">
        <is>
          <t>宁镇常</t>
        </is>
      </c>
      <c r="D5" s="5" t="n">
        <v>8656.469999999999</v>
      </c>
      <c r="E5" s="8" t="n">
        <v>3</v>
      </c>
      <c r="F5" s="2" t="inlineStr">
        <is>
          <t>原值保留；补值为算例假设，见字段说明</t>
        </is>
      </c>
    </row>
    <row r="6" ht="34" customHeight="1">
      <c r="A6" s="6" t="inlineStr">
        <is>
          <t>PV_0005</t>
        </is>
      </c>
      <c r="B6" s="5" t="n">
        <v>5</v>
      </c>
      <c r="C6" s="5" t="inlineStr">
        <is>
          <t>锡苏</t>
        </is>
      </c>
      <c r="D6" s="5" t="n">
        <v>10554.52</v>
      </c>
      <c r="E6" s="8" t="n">
        <v>3</v>
      </c>
      <c r="F6" s="2" t="inlineStr">
        <is>
          <t>原值保留；补值为算例假设，见字段说明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9" defaultRowHeight="14.25" outlineLevelRow="1"/>
  <cols>
    <col width="18" customWidth="1" min="1" max="1"/>
    <col width="43" customWidth="1" min="2" max="2"/>
    <col width="18" customWidth="1" min="3" max="16"/>
    <col width="22" customWidth="1" min="17" max="17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ENERGY_MWH</t>
        </is>
      </c>
      <c r="F1" s="1" t="inlineStr">
        <is>
          <t>SOC_MIN</t>
        </is>
      </c>
      <c r="G1" s="1" t="inlineStr">
        <is>
          <t>SOC_MAX</t>
        </is>
      </c>
      <c r="H1" s="1" t="inlineStr">
        <is>
          <t>SOC_INITIAL</t>
        </is>
      </c>
      <c r="I1" s="1" t="inlineStr">
        <is>
          <t>ETA_CHARGE</t>
        </is>
      </c>
      <c r="J1" s="1" t="inlineStr">
        <is>
          <t>ETA_DISCHARGE</t>
        </is>
      </c>
      <c r="K1" s="1" t="inlineStr">
        <is>
          <t>SELF_DISCHARGE</t>
        </is>
      </c>
      <c r="L1" s="1" t="inlineStr">
        <is>
          <t>POWER_COST</t>
        </is>
      </c>
      <c r="M1" s="1" t="inlineStr">
        <is>
          <t>ENERGY_COST</t>
        </is>
      </c>
      <c r="N1" s="1" t="inlineStr">
        <is>
          <t>REPLACE_FACTOR</t>
        </is>
      </c>
      <c r="O1" s="1" t="inlineStr">
        <is>
          <t>MAX_CYCLES</t>
        </is>
      </c>
      <c r="P1" s="1" t="inlineStr">
        <is>
          <t>FOM_COST_PERIOD</t>
        </is>
      </c>
      <c r="Q1" s="1" t="inlineStr">
        <is>
          <t>FOM_ENERGY_PERIOD</t>
        </is>
      </c>
    </row>
    <row r="2" ht="23" customHeight="1">
      <c r="A2" t="inlineStr">
        <is>
          <t>ES_ZJ_2018</t>
        </is>
      </c>
      <c r="B2" t="inlineStr">
        <is>
          <t>镇江一期储能（公开容量等值）</t>
        </is>
      </c>
      <c r="C2" t="inlineStr">
        <is>
          <t>4</t>
        </is>
      </c>
      <c r="D2" t="n">
        <v>101</v>
      </c>
      <c r="E2" t="n">
        <v>202</v>
      </c>
      <c r="F2" t="n">
        <v>0.1</v>
      </c>
      <c r="G2" t="n">
        <v>0.9</v>
      </c>
      <c r="H2" t="n">
        <v>0.5</v>
      </c>
      <c r="I2" t="n">
        <v>0.921954445729289</v>
      </c>
      <c r="J2" t="n">
        <v>0.921954445729289</v>
      </c>
      <c r="K2" t="n">
        <v>0.0001</v>
      </c>
      <c r="L2" t="n">
        <v>200000</v>
      </c>
      <c r="M2" t="n">
        <v>1100000</v>
      </c>
      <c r="N2" t="n">
        <v>0.8</v>
      </c>
      <c r="O2" t="n">
        <v>5000</v>
      </c>
      <c r="P2" t="n">
        <v>0.4</v>
      </c>
      <c r="Q2" t="n">
        <v>2.2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n"/>
      <c r="B2" s="8" t="n"/>
      <c r="C2" s="7" t="n"/>
      <c r="D2" s="8" t="n"/>
      <c r="E2" s="8" t="n"/>
      <c r="F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6"/>
  </cols>
  <sheetData>
    <row r="1" ht="46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GEN_COST</t>
        </is>
      </c>
      <c r="F1" s="1" t="inlineStr">
        <is>
          <t>FOM_COST_PERIOD</t>
        </is>
      </c>
    </row>
    <row r="2" ht="23" customHeight="1">
      <c r="A2" s="7" t="n"/>
      <c r="B2" s="8" t="n"/>
      <c r="C2" s="7" t="n"/>
      <c r="D2" s="8" t="n"/>
      <c r="E2" s="8" t="n"/>
      <c r="F2" s="8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24"/>
    <col width="22" customWidth="1" min="25" max="26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CAP</t>
        </is>
      </c>
      <c r="E1" s="1" t="inlineStr">
        <is>
          <t>MIN_POWER_GEN</t>
        </is>
      </c>
      <c r="F1" s="1" t="inlineStr">
        <is>
          <t>SF_EFFICIENCY</t>
        </is>
      </c>
      <c r="G1" s="1" t="inlineStr">
        <is>
          <t>MIRROR_AREA</t>
        </is>
      </c>
      <c r="H1" s="1" t="inlineStr">
        <is>
          <t>SOLAR_MULTIPLE</t>
        </is>
      </c>
      <c r="I1" s="1" t="inlineStr">
        <is>
          <t>DNI_REFERENCE</t>
        </is>
      </c>
      <c r="J1" s="1" t="inlineStr">
        <is>
          <t>THERMAL_EFFICIENCY</t>
        </is>
      </c>
      <c r="K1" s="1" t="inlineStr">
        <is>
          <t>HEAT_ETA_IN</t>
        </is>
      </c>
      <c r="L1" s="1" t="inlineStr">
        <is>
          <t>HEAT_ETA_OUT</t>
        </is>
      </c>
      <c r="M1" s="1" t="inlineStr">
        <is>
          <t>HEAT_LOSS</t>
        </is>
      </c>
      <c r="N1" s="1" t="inlineStr">
        <is>
          <t>HEAT_CH_MAX</t>
        </is>
      </c>
      <c r="O1" s="1" t="inlineStr">
        <is>
          <t>HEAT_DIS_MAX</t>
        </is>
      </c>
      <c r="P1" s="1" t="inlineStr">
        <is>
          <t>HEAT_MIN</t>
        </is>
      </c>
      <c r="Q1" s="1" t="inlineStr">
        <is>
          <t>HEAT_MAX</t>
        </is>
      </c>
      <c r="R1" s="1" t="inlineStr">
        <is>
          <t>HEAT_INITIAL</t>
        </is>
      </c>
      <c r="S1" s="1" t="inlineStr">
        <is>
          <t>RAMP_LIMIT_UP</t>
        </is>
      </c>
      <c r="T1" s="1" t="inlineStr">
        <is>
          <t>RAMP_LIMIT_DOWN</t>
        </is>
      </c>
      <c r="U1" s="1" t="inlineStr">
        <is>
          <t>START_RAMP</t>
        </is>
      </c>
      <c r="V1" s="1" t="inlineStr">
        <is>
          <t>STOP_RAMP</t>
        </is>
      </c>
      <c r="W1" s="1" t="inlineStr">
        <is>
          <t>GEN_COST</t>
        </is>
      </c>
      <c r="X1" s="1" t="inlineStr">
        <is>
          <t>FOM_COST_PERIOD</t>
        </is>
      </c>
      <c r="Y1" s="1" t="inlineStr">
        <is>
          <t>INIT_STATUS</t>
        </is>
      </c>
      <c r="Z1" s="1" t="inlineStr">
        <is>
          <t>INIT_POWER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2"/>
    </sheetView>
  </sheetViews>
  <sheetFormatPr baseColWidth="8" defaultColWidth="9" defaultRowHeight="14.25" outlineLevelRow="1"/>
  <cols>
    <col width="18" customWidth="1" min="1" max="1"/>
    <col width="30" customWidth="1" min="2" max="2"/>
    <col width="18" customWidth="1" min="3" max="13"/>
    <col width="22" customWidth="1" min="14" max="21"/>
  </cols>
  <sheetData>
    <row r="1" ht="44" customHeight="1">
      <c r="A1" s="1" t="inlineStr">
        <is>
          <t>UnitKey</t>
        </is>
      </c>
      <c r="B1" s="1" t="inlineStr">
        <is>
          <t>NAME</t>
        </is>
      </c>
      <c r="C1" s="1" t="inlineStr">
        <is>
          <t>AreaID</t>
        </is>
      </c>
      <c r="D1" s="1" t="inlineStr">
        <is>
          <t>WIND_CAP</t>
        </is>
      </c>
      <c r="E1" s="1" t="inlineStr">
        <is>
          <t>PV_CAP</t>
        </is>
      </c>
      <c r="F1" s="1" t="inlineStr">
        <is>
          <t>ES_POWER</t>
        </is>
      </c>
      <c r="G1" s="1" t="inlineStr">
        <is>
          <t>ENERGY_MWH</t>
        </is>
      </c>
      <c r="H1" s="1" t="inlineStr">
        <is>
          <t>SOC_MIN</t>
        </is>
      </c>
      <c r="I1" s="1" t="inlineStr">
        <is>
          <t>SOC_MAX</t>
        </is>
      </c>
      <c r="J1" s="1" t="inlineStr">
        <is>
          <t>SOC_INITIAL</t>
        </is>
      </c>
      <c r="K1" s="1" t="inlineStr">
        <is>
          <t>ETA_CHARGE</t>
        </is>
      </c>
      <c r="L1" s="1" t="inlineStr">
        <is>
          <t>ETA_DISCHARGE</t>
        </is>
      </c>
      <c r="M1" s="1" t="inlineStr">
        <is>
          <t>FOM_COST_PERIOD</t>
        </is>
      </c>
      <c r="N1" s="1" t="inlineStr">
        <is>
          <t>SELF_DISCHARGE</t>
        </is>
      </c>
      <c r="O1" s="1" t="inlineStr">
        <is>
          <t>POWER_COST</t>
        </is>
      </c>
      <c r="P1" s="1" t="inlineStr">
        <is>
          <t>ENERGY_COST</t>
        </is>
      </c>
      <c r="Q1" s="1" t="inlineStr">
        <is>
          <t>REPLACE_FACTOR</t>
        </is>
      </c>
      <c r="R1" s="1" t="inlineStr">
        <is>
          <t>MAX_CYCLES</t>
        </is>
      </c>
      <c r="S1" s="1" t="inlineStr">
        <is>
          <t>FOM_ENERGY_PERIOD</t>
        </is>
      </c>
      <c r="T1" s="1" t="inlineStr">
        <is>
          <t>WIND_FOM_PERIOD</t>
        </is>
      </c>
      <c r="U1" s="1" t="inlineStr">
        <is>
          <t>PV_FOM_PERIOD</t>
        </is>
      </c>
    </row>
    <row r="2" ht="23" customHeight="1">
      <c r="A2" s="7" t="n"/>
      <c r="B2" s="8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23" sqref="D23"/>
    </sheetView>
  </sheetViews>
  <sheetFormatPr baseColWidth="8" defaultColWidth="9" defaultRowHeight="14.25" outlineLevelRow="2"/>
  <cols>
    <col width="18" customWidth="1" min="1" max="3"/>
    <col width="32" customWidth="1" min="4" max="4"/>
    <col width="18" customWidth="1" min="5" max="5"/>
    <col width="22" customWidth="1" min="6" max="7"/>
    <col width="18" customWidth="1" min="8" max="8"/>
    <col width="52" customWidth="1" min="9" max="9"/>
  </cols>
  <sheetData>
    <row r="1" ht="44" customHeight="1">
      <c r="A1" s="1" t="inlineStr">
        <is>
          <t>Year</t>
        </is>
      </c>
      <c r="B1" s="1" t="inlineStr">
        <is>
          <t>Type</t>
        </is>
      </c>
      <c r="C1" s="1" t="inlineStr">
        <is>
          <t>UnitKey</t>
        </is>
      </c>
      <c r="D1" s="1" t="inlineStr">
        <is>
          <t>UnitName</t>
        </is>
      </c>
      <c r="E1" s="1" t="inlineStr">
        <is>
          <t>AreaID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Enabled</t>
        </is>
      </c>
      <c r="I1" s="1" t="inlineStr">
        <is>
          <t>Note</t>
        </is>
      </c>
    </row>
    <row r="2" ht="23" customHeight="1">
      <c r="A2" s="5" t="n">
        <v>2023</v>
      </c>
      <c r="B2" s="5" t="inlineStr">
        <is>
          <t>煤电</t>
        </is>
      </c>
      <c r="C2" s="6" t="inlineStr">
        <is>
          <t>TH_0001</t>
        </is>
      </c>
      <c r="D2" s="5" t="inlineStr">
        <is>
          <t>苏华金_127.0机_JM</t>
        </is>
      </c>
      <c r="E2" s="6" t="inlineStr">
        <is>
          <t>1</t>
        </is>
      </c>
      <c r="F2" s="9" t="n">
        <v>44963</v>
      </c>
      <c r="G2" s="9" t="n">
        <v>44977</v>
      </c>
      <c r="H2" s="5" t="n">
        <v>1</v>
      </c>
      <c r="I2" s="5" t="inlineStr">
        <is>
          <t>示例安排，非实际检修计划</t>
        </is>
      </c>
    </row>
    <row r="3" ht="23" customHeight="1">
      <c r="A3" s="5" t="n">
        <v>2023</v>
      </c>
      <c r="B3" s="5" t="inlineStr">
        <is>
          <t>煤电</t>
        </is>
      </c>
      <c r="C3" s="6" t="inlineStr">
        <is>
          <t>TH_0002</t>
        </is>
      </c>
      <c r="D3" s="5" t="inlineStr">
        <is>
          <t>苏华金_227.0机_JM</t>
        </is>
      </c>
      <c r="E3" s="6" t="inlineStr">
        <is>
          <t>1</t>
        </is>
      </c>
      <c r="F3" s="9" t="n">
        <v>45173</v>
      </c>
      <c r="G3" s="9" t="n">
        <v>45187</v>
      </c>
      <c r="H3" s="5" t="n">
        <v>1</v>
      </c>
      <c r="I3" s="5" t="inlineStr">
        <is>
          <t>示例安排，非实际检修计划</t>
        </is>
      </c>
    </row>
    <row r="4">
      <c r="A4" t="n">
        <v>2023</v>
      </c>
      <c r="B4" t="inlineStr">
        <is>
          <t>气电</t>
        </is>
      </c>
      <c r="C4" t="inlineStr">
        <is>
          <t>GAS_0001</t>
        </is>
      </c>
      <c r="D4" t="inlineStr">
        <is>
          <t>苏协鑫_410.5机_Jr</t>
        </is>
      </c>
      <c r="E4" t="inlineStr">
        <is>
          <t>1</t>
        </is>
      </c>
      <c r="F4" s="10" t="n">
        <v>44991</v>
      </c>
      <c r="G4" s="10" t="n">
        <v>44998</v>
      </c>
      <c r="H4" t="n">
        <v>1</v>
      </c>
      <c r="I4" t="inlineStr">
        <is>
          <t>示例安排，非实际检修计划</t>
        </is>
      </c>
    </row>
    <row r="5">
      <c r="A5" t="n">
        <v>2023</v>
      </c>
      <c r="B5" t="inlineStr">
        <is>
          <t>气电</t>
        </is>
      </c>
      <c r="C5" t="inlineStr">
        <is>
          <t>GAS_0002</t>
        </is>
      </c>
      <c r="D5" t="inlineStr">
        <is>
          <t>苏协鑫_313.8机_Jr</t>
        </is>
      </c>
      <c r="E5" t="inlineStr">
        <is>
          <t>1</t>
        </is>
      </c>
      <c r="F5" s="10" t="n">
        <v>45208</v>
      </c>
      <c r="G5" s="10" t="n">
        <v>45215</v>
      </c>
      <c r="H5" t="n">
        <v>1</v>
      </c>
      <c r="I5" t="inlineStr">
        <is>
          <t>示例安排，非实际检修计划</t>
        </is>
      </c>
    </row>
    <row r="6">
      <c r="A6" t="n">
        <v>2023</v>
      </c>
      <c r="B6" t="inlineStr">
        <is>
          <t>核电</t>
        </is>
      </c>
      <c r="C6" t="inlineStr">
        <is>
          <t>NUC_0001</t>
        </is>
      </c>
      <c r="D6" t="inlineStr">
        <is>
          <t>苏西陬G124.0机_JH</t>
        </is>
      </c>
      <c r="E6" t="inlineStr">
        <is>
          <t>5</t>
        </is>
      </c>
      <c r="F6" s="10" t="n">
        <v>45054</v>
      </c>
      <c r="G6" s="10" t="n">
        <v>45075</v>
      </c>
      <c r="H6" t="n">
        <v>1</v>
      </c>
      <c r="I6" t="inlineStr">
        <is>
          <t>示例安排，非实际检修计划</t>
        </is>
      </c>
    </row>
    <row r="7">
      <c r="A7" t="n">
        <v>2023</v>
      </c>
      <c r="B7" t="inlineStr">
        <is>
          <t>核电</t>
        </is>
      </c>
      <c r="C7" t="inlineStr">
        <is>
          <t>NUC_0002</t>
        </is>
      </c>
      <c r="D7" t="inlineStr">
        <is>
          <t>苏西陬G224.0机_JH</t>
        </is>
      </c>
      <c r="E7" t="inlineStr">
        <is>
          <t>5</t>
        </is>
      </c>
      <c r="F7" s="10" t="n">
        <v>45201</v>
      </c>
      <c r="G7" s="10" t="n">
        <v>45222</v>
      </c>
      <c r="H7" t="n">
        <v>1</v>
      </c>
      <c r="I7" t="inlineStr">
        <is>
          <t>示例安排，非实际检修计划</t>
        </is>
      </c>
    </row>
    <row r="8">
      <c r="A8" t="n">
        <v>2023</v>
      </c>
      <c r="B8" t="inlineStr">
        <is>
          <t>生物质</t>
        </is>
      </c>
      <c r="C8" t="inlineStr">
        <is>
          <t>BIO_0001</t>
        </is>
      </c>
      <c r="D8" t="inlineStr">
        <is>
          <t>南京生物质</t>
        </is>
      </c>
      <c r="E8" t="inlineStr">
        <is>
          <t>1</t>
        </is>
      </c>
      <c r="F8" s="10" t="n">
        <v>45005</v>
      </c>
      <c r="G8" s="10" t="n">
        <v>45012</v>
      </c>
      <c r="H8" t="n">
        <v>1</v>
      </c>
      <c r="I8" t="inlineStr">
        <is>
          <t>示例安排，非实际检修计划</t>
        </is>
      </c>
    </row>
    <row r="9">
      <c r="A9" t="n">
        <v>2023</v>
      </c>
      <c r="B9" t="inlineStr">
        <is>
          <t>生物质</t>
        </is>
      </c>
      <c r="C9" t="inlineStr">
        <is>
          <t>BIO_0002</t>
        </is>
      </c>
      <c r="D9" t="inlineStr">
        <is>
          <t>镇江生物质</t>
        </is>
      </c>
      <c r="E9" t="inlineStr">
        <is>
          <t>1</t>
        </is>
      </c>
      <c r="F9" s="10" t="n">
        <v>45264</v>
      </c>
      <c r="G9" s="10" t="n">
        <v>45271</v>
      </c>
      <c r="H9" t="n">
        <v>1</v>
      </c>
      <c r="I9" t="inlineStr">
        <is>
          <t>示例安排，非实际检修计划</t>
        </is>
      </c>
    </row>
    <row r="10">
      <c r="A10" t="n">
        <v>2023</v>
      </c>
      <c r="B10" t="inlineStr">
        <is>
          <t>抽水蓄能</t>
        </is>
      </c>
      <c r="C10" t="inlineStr">
        <is>
          <t>PS_0001</t>
        </is>
      </c>
      <c r="D10" t="inlineStr">
        <is>
          <t>苏句抽G115.8机_JD</t>
        </is>
      </c>
      <c r="E10" t="inlineStr">
        <is>
          <t>1</t>
        </is>
      </c>
      <c r="F10" s="10" t="n">
        <v>45019</v>
      </c>
      <c r="G10" s="10" t="n">
        <v>45029</v>
      </c>
      <c r="H10" t="n">
        <v>1</v>
      </c>
      <c r="I10" t="inlineStr">
        <is>
          <t>示例安排，非实际检修计划</t>
        </is>
      </c>
    </row>
    <row r="11">
      <c r="A11" t="n">
        <v>2023</v>
      </c>
      <c r="B11" t="inlineStr">
        <is>
          <t>抽水蓄能</t>
        </is>
      </c>
      <c r="C11" t="inlineStr">
        <is>
          <t>PS_0002</t>
        </is>
      </c>
      <c r="D11" t="inlineStr">
        <is>
          <t>苏句抽G215.8机_JD</t>
        </is>
      </c>
      <c r="E11" t="inlineStr">
        <is>
          <t>1</t>
        </is>
      </c>
      <c r="F11" s="10" t="n">
        <v>45236</v>
      </c>
      <c r="G11" s="10" t="n">
        <v>45246</v>
      </c>
      <c r="H11" t="n">
        <v>1</v>
      </c>
      <c r="I11" t="inlineStr">
        <is>
          <t>示例安排，非实际检修计划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66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18" customWidth="1" min="1" max="6"/>
  </cols>
  <sheetData>
    <row r="1" ht="44" customHeight="1">
      <c r="A1" s="1" t="inlineStr">
        <is>
          <t>Date</t>
        </is>
      </c>
      <c r="B1" s="1" t="inlineStr">
        <is>
          <t>徐宿淮检修台数</t>
        </is>
      </c>
      <c r="C1" s="1" t="inlineStr">
        <is>
          <t>连盐通检修台数</t>
        </is>
      </c>
      <c r="D1" s="1" t="inlineStr">
        <is>
          <t>扬泰检修台数</t>
        </is>
      </c>
      <c r="E1" s="1" t="inlineStr">
        <is>
          <t>宁镇常检修台数</t>
        </is>
      </c>
      <c r="F1" s="1" t="inlineStr">
        <is>
          <t>锡苏检修台数</t>
        </is>
      </c>
    </row>
    <row r="2" ht="23" customHeight="1">
      <c r="A2" s="9" t="n">
        <v>44927</v>
      </c>
      <c r="B2" s="5">
        <f>COUNTIFS(检修计划!$E$2:$E$992,"1",检修计划!$F$2:$F$992,"&lt;"&amp;$A2+1,检修计划!$G$2:$G$992,"&gt;"&amp;$A2,检修计划!$H$2:$H$992,1)</f>
        <v/>
      </c>
      <c r="C2" s="5">
        <f>COUNTIFS(检修计划!$E$2:$E$992,"2",检修计划!$F$2:$F$992,"&lt;"&amp;$A2+1,检修计划!$G$2:$G$992,"&gt;"&amp;$A2,检修计划!$H$2:$H$992,1)</f>
        <v/>
      </c>
      <c r="D2" s="5">
        <f>COUNTIFS(检修计划!$E$2:$E$992,"3",检修计划!$F$2:$F$992,"&lt;"&amp;$A2+1,检修计划!$G$2:$G$992,"&gt;"&amp;$A2,检修计划!$H$2:$H$992,1)</f>
        <v/>
      </c>
      <c r="E2" s="5">
        <f>COUNTIFS(检修计划!$E$2:$E$992,"4",检修计划!$F$2:$F$992,"&lt;"&amp;$A2+1,检修计划!$G$2:$G$992,"&gt;"&amp;$A2,检修计划!$H$2:$H$992,1)</f>
        <v/>
      </c>
      <c r="F2" s="5">
        <f>COUNTIFS(检修计划!$E$2:$E$992,"5",检修计划!$F$2:$F$992,"&lt;"&amp;$A2+1,检修计划!$G$2:$G$992,"&gt;"&amp;$A2,检修计划!$H$2:$H$992,1)</f>
        <v/>
      </c>
    </row>
    <row r="3" ht="23" customHeight="1">
      <c r="A3" s="9" t="n">
        <v>44928</v>
      </c>
      <c r="B3" s="5">
        <f>COUNTIFS(检修计划!$E$2:$E$992,"1",检修计划!$F$2:$F$992,"&lt;"&amp;$A3+1,检修计划!$G$2:$G$992,"&gt;"&amp;$A3,检修计划!$H$2:$H$992,1)</f>
        <v/>
      </c>
      <c r="C3" s="5">
        <f>COUNTIFS(检修计划!$E$2:$E$992,"2",检修计划!$F$2:$F$992,"&lt;"&amp;$A3+1,检修计划!$G$2:$G$992,"&gt;"&amp;$A3,检修计划!$H$2:$H$992,1)</f>
        <v/>
      </c>
      <c r="D3" s="5">
        <f>COUNTIFS(检修计划!$E$2:$E$992,"3",检修计划!$F$2:$F$992,"&lt;"&amp;$A3+1,检修计划!$G$2:$G$992,"&gt;"&amp;$A3,检修计划!$H$2:$H$992,1)</f>
        <v/>
      </c>
      <c r="E3" s="5">
        <f>COUNTIFS(检修计划!$E$2:$E$992,"4",检修计划!$F$2:$F$992,"&lt;"&amp;$A3+1,检修计划!$G$2:$G$992,"&gt;"&amp;$A3,检修计划!$H$2:$H$992,1)</f>
        <v/>
      </c>
      <c r="F3" s="5">
        <f>COUNTIFS(检修计划!$E$2:$E$992,"5",检修计划!$F$2:$F$992,"&lt;"&amp;$A3+1,检修计划!$G$2:$G$992,"&gt;"&amp;$A3,检修计划!$H$2:$H$992,1)</f>
        <v/>
      </c>
    </row>
    <row r="4" ht="23" customHeight="1">
      <c r="A4" s="9" t="n">
        <v>44929</v>
      </c>
      <c r="B4" s="5">
        <f>COUNTIFS(检修计划!$E$2:$E$992,"1",检修计划!$F$2:$F$992,"&lt;"&amp;$A4+1,检修计划!$G$2:$G$992,"&gt;"&amp;$A4,检修计划!$H$2:$H$992,1)</f>
        <v/>
      </c>
      <c r="C4" s="5">
        <f>COUNTIFS(检修计划!$E$2:$E$992,"2",检修计划!$F$2:$F$992,"&lt;"&amp;$A4+1,检修计划!$G$2:$G$992,"&gt;"&amp;$A4,检修计划!$H$2:$H$992,1)</f>
        <v/>
      </c>
      <c r="D4" s="5">
        <f>COUNTIFS(检修计划!$E$2:$E$992,"3",检修计划!$F$2:$F$992,"&lt;"&amp;$A4+1,检修计划!$G$2:$G$992,"&gt;"&amp;$A4,检修计划!$H$2:$H$992,1)</f>
        <v/>
      </c>
      <c r="E4" s="5">
        <f>COUNTIFS(检修计划!$E$2:$E$992,"4",检修计划!$F$2:$F$992,"&lt;"&amp;$A4+1,检修计划!$G$2:$G$992,"&gt;"&amp;$A4,检修计划!$H$2:$H$992,1)</f>
        <v/>
      </c>
      <c r="F4" s="5">
        <f>COUNTIFS(检修计划!$E$2:$E$992,"5",检修计划!$F$2:$F$992,"&lt;"&amp;$A4+1,检修计划!$G$2:$G$992,"&gt;"&amp;$A4,检修计划!$H$2:$H$992,1)</f>
        <v/>
      </c>
    </row>
    <row r="5" ht="23" customHeight="1">
      <c r="A5" s="9" t="n">
        <v>44930</v>
      </c>
      <c r="B5" s="5">
        <f>COUNTIFS(检修计划!$E$2:$E$992,"1",检修计划!$F$2:$F$992,"&lt;"&amp;$A5+1,检修计划!$G$2:$G$992,"&gt;"&amp;$A5,检修计划!$H$2:$H$992,1)</f>
        <v/>
      </c>
      <c r="C5" s="5">
        <f>COUNTIFS(检修计划!$E$2:$E$992,"2",检修计划!$F$2:$F$992,"&lt;"&amp;$A5+1,检修计划!$G$2:$G$992,"&gt;"&amp;$A5,检修计划!$H$2:$H$992,1)</f>
        <v/>
      </c>
      <c r="D5" s="5">
        <f>COUNTIFS(检修计划!$E$2:$E$992,"3",检修计划!$F$2:$F$992,"&lt;"&amp;$A5+1,检修计划!$G$2:$G$992,"&gt;"&amp;$A5,检修计划!$H$2:$H$992,1)</f>
        <v/>
      </c>
      <c r="E5" s="5">
        <f>COUNTIFS(检修计划!$E$2:$E$992,"4",检修计划!$F$2:$F$992,"&lt;"&amp;$A5+1,检修计划!$G$2:$G$992,"&gt;"&amp;$A5,检修计划!$H$2:$H$992,1)</f>
        <v/>
      </c>
      <c r="F5" s="5">
        <f>COUNTIFS(检修计划!$E$2:$E$992,"5",检修计划!$F$2:$F$992,"&lt;"&amp;$A5+1,检修计划!$G$2:$G$992,"&gt;"&amp;$A5,检修计划!$H$2:$H$992,1)</f>
        <v/>
      </c>
    </row>
    <row r="6" ht="23" customHeight="1">
      <c r="A6" s="9" t="n">
        <v>44931</v>
      </c>
      <c r="B6" s="5">
        <f>COUNTIFS(检修计划!$E$2:$E$992,"1",检修计划!$F$2:$F$992,"&lt;"&amp;$A6+1,检修计划!$G$2:$G$992,"&gt;"&amp;$A6,检修计划!$H$2:$H$992,1)</f>
        <v/>
      </c>
      <c r="C6" s="5">
        <f>COUNTIFS(检修计划!$E$2:$E$992,"2",检修计划!$F$2:$F$992,"&lt;"&amp;$A6+1,检修计划!$G$2:$G$992,"&gt;"&amp;$A6,检修计划!$H$2:$H$992,1)</f>
        <v/>
      </c>
      <c r="D6" s="5">
        <f>COUNTIFS(检修计划!$E$2:$E$992,"3",检修计划!$F$2:$F$992,"&lt;"&amp;$A6+1,检修计划!$G$2:$G$992,"&gt;"&amp;$A6,检修计划!$H$2:$H$992,1)</f>
        <v/>
      </c>
      <c r="E6" s="5">
        <f>COUNTIFS(检修计划!$E$2:$E$992,"4",检修计划!$F$2:$F$992,"&lt;"&amp;$A6+1,检修计划!$G$2:$G$992,"&gt;"&amp;$A6,检修计划!$H$2:$H$992,1)</f>
        <v/>
      </c>
      <c r="F6" s="5">
        <f>COUNTIFS(检修计划!$E$2:$E$992,"5",检修计划!$F$2:$F$992,"&lt;"&amp;$A6+1,检修计划!$G$2:$G$992,"&gt;"&amp;$A6,检修计划!$H$2:$H$992,1)</f>
        <v/>
      </c>
    </row>
    <row r="7" ht="23" customHeight="1">
      <c r="A7" s="9" t="n">
        <v>44932</v>
      </c>
      <c r="B7" s="5">
        <f>COUNTIFS(检修计划!$E$2:$E$992,"1",检修计划!$F$2:$F$992,"&lt;"&amp;$A7+1,检修计划!$G$2:$G$992,"&gt;"&amp;$A7,检修计划!$H$2:$H$992,1)</f>
        <v/>
      </c>
      <c r="C7" s="5">
        <f>COUNTIFS(检修计划!$E$2:$E$992,"2",检修计划!$F$2:$F$992,"&lt;"&amp;$A7+1,检修计划!$G$2:$G$992,"&gt;"&amp;$A7,检修计划!$H$2:$H$992,1)</f>
        <v/>
      </c>
      <c r="D7" s="5">
        <f>COUNTIFS(检修计划!$E$2:$E$992,"3",检修计划!$F$2:$F$992,"&lt;"&amp;$A7+1,检修计划!$G$2:$G$992,"&gt;"&amp;$A7,检修计划!$H$2:$H$992,1)</f>
        <v/>
      </c>
      <c r="E7" s="5">
        <f>COUNTIFS(检修计划!$E$2:$E$992,"4",检修计划!$F$2:$F$992,"&lt;"&amp;$A7+1,检修计划!$G$2:$G$992,"&gt;"&amp;$A7,检修计划!$H$2:$H$992,1)</f>
        <v/>
      </c>
      <c r="F7" s="5">
        <f>COUNTIFS(检修计划!$E$2:$E$992,"5",检修计划!$F$2:$F$992,"&lt;"&amp;$A7+1,检修计划!$G$2:$G$992,"&gt;"&amp;$A7,检修计划!$H$2:$H$992,1)</f>
        <v/>
      </c>
    </row>
    <row r="8" ht="23" customHeight="1">
      <c r="A8" s="9" t="n">
        <v>44933</v>
      </c>
      <c r="B8" s="5">
        <f>COUNTIFS(检修计划!$E$2:$E$992,"1",检修计划!$F$2:$F$992,"&lt;"&amp;$A8+1,检修计划!$G$2:$G$992,"&gt;"&amp;$A8,检修计划!$H$2:$H$992,1)</f>
        <v/>
      </c>
      <c r="C8" s="5">
        <f>COUNTIFS(检修计划!$E$2:$E$992,"2",检修计划!$F$2:$F$992,"&lt;"&amp;$A8+1,检修计划!$G$2:$G$992,"&gt;"&amp;$A8,检修计划!$H$2:$H$992,1)</f>
        <v/>
      </c>
      <c r="D8" s="5">
        <f>COUNTIFS(检修计划!$E$2:$E$992,"3",检修计划!$F$2:$F$992,"&lt;"&amp;$A8+1,检修计划!$G$2:$G$992,"&gt;"&amp;$A8,检修计划!$H$2:$H$992,1)</f>
        <v/>
      </c>
      <c r="E8" s="5">
        <f>COUNTIFS(检修计划!$E$2:$E$992,"4",检修计划!$F$2:$F$992,"&lt;"&amp;$A8+1,检修计划!$G$2:$G$992,"&gt;"&amp;$A8,检修计划!$H$2:$H$992,1)</f>
        <v/>
      </c>
      <c r="F8" s="5">
        <f>COUNTIFS(检修计划!$E$2:$E$992,"5",检修计划!$F$2:$F$992,"&lt;"&amp;$A8+1,检修计划!$G$2:$G$992,"&gt;"&amp;$A8,检修计划!$H$2:$H$992,1)</f>
        <v/>
      </c>
    </row>
    <row r="9" ht="23" customHeight="1">
      <c r="A9" s="9" t="n">
        <v>44934</v>
      </c>
      <c r="B9" s="5">
        <f>COUNTIFS(检修计划!$E$2:$E$992,"1",检修计划!$F$2:$F$992,"&lt;"&amp;$A9+1,检修计划!$G$2:$G$992,"&gt;"&amp;$A9,检修计划!$H$2:$H$992,1)</f>
        <v/>
      </c>
      <c r="C9" s="5">
        <f>COUNTIFS(检修计划!$E$2:$E$992,"2",检修计划!$F$2:$F$992,"&lt;"&amp;$A9+1,检修计划!$G$2:$G$992,"&gt;"&amp;$A9,检修计划!$H$2:$H$992,1)</f>
        <v/>
      </c>
      <c r="D9" s="5">
        <f>COUNTIFS(检修计划!$E$2:$E$992,"3",检修计划!$F$2:$F$992,"&lt;"&amp;$A9+1,检修计划!$G$2:$G$992,"&gt;"&amp;$A9,检修计划!$H$2:$H$992,1)</f>
        <v/>
      </c>
      <c r="E9" s="5">
        <f>COUNTIFS(检修计划!$E$2:$E$992,"4",检修计划!$F$2:$F$992,"&lt;"&amp;$A9+1,检修计划!$G$2:$G$992,"&gt;"&amp;$A9,检修计划!$H$2:$H$992,1)</f>
        <v/>
      </c>
      <c r="F9" s="5">
        <f>COUNTIFS(检修计划!$E$2:$E$992,"5",检修计划!$F$2:$F$992,"&lt;"&amp;$A9+1,检修计划!$G$2:$G$992,"&gt;"&amp;$A9,检修计划!$H$2:$H$992,1)</f>
        <v/>
      </c>
    </row>
    <row r="10" ht="23" customHeight="1">
      <c r="A10" s="9" t="n">
        <v>44935</v>
      </c>
      <c r="B10" s="5">
        <f>COUNTIFS(检修计划!$E$2:$E$992,"1",检修计划!$F$2:$F$992,"&lt;"&amp;$A10+1,检修计划!$G$2:$G$992,"&gt;"&amp;$A10,检修计划!$H$2:$H$992,1)</f>
        <v/>
      </c>
      <c r="C10" s="5">
        <f>COUNTIFS(检修计划!$E$2:$E$992,"2",检修计划!$F$2:$F$992,"&lt;"&amp;$A10+1,检修计划!$G$2:$G$992,"&gt;"&amp;$A10,检修计划!$H$2:$H$992,1)</f>
        <v/>
      </c>
      <c r="D10" s="5">
        <f>COUNTIFS(检修计划!$E$2:$E$992,"3",检修计划!$F$2:$F$992,"&lt;"&amp;$A10+1,检修计划!$G$2:$G$992,"&gt;"&amp;$A10,检修计划!$H$2:$H$992,1)</f>
        <v/>
      </c>
      <c r="E10" s="5">
        <f>COUNTIFS(检修计划!$E$2:$E$992,"4",检修计划!$F$2:$F$992,"&lt;"&amp;$A10+1,检修计划!$G$2:$G$992,"&gt;"&amp;$A10,检修计划!$H$2:$H$992,1)</f>
        <v/>
      </c>
      <c r="F10" s="5">
        <f>COUNTIFS(检修计划!$E$2:$E$992,"5",检修计划!$F$2:$F$992,"&lt;"&amp;$A10+1,检修计划!$G$2:$G$992,"&gt;"&amp;$A10,检修计划!$H$2:$H$992,1)</f>
        <v/>
      </c>
    </row>
    <row r="11" ht="23" customHeight="1">
      <c r="A11" s="9" t="n">
        <v>44936</v>
      </c>
      <c r="B11" s="5">
        <f>COUNTIFS(检修计划!$E$2:$E$992,"1",检修计划!$F$2:$F$992,"&lt;"&amp;$A11+1,检修计划!$G$2:$G$992,"&gt;"&amp;$A11,检修计划!$H$2:$H$992,1)</f>
        <v/>
      </c>
      <c r="C11" s="5">
        <f>COUNTIFS(检修计划!$E$2:$E$992,"2",检修计划!$F$2:$F$992,"&lt;"&amp;$A11+1,检修计划!$G$2:$G$992,"&gt;"&amp;$A11,检修计划!$H$2:$H$992,1)</f>
        <v/>
      </c>
      <c r="D11" s="5">
        <f>COUNTIFS(检修计划!$E$2:$E$992,"3",检修计划!$F$2:$F$992,"&lt;"&amp;$A11+1,检修计划!$G$2:$G$992,"&gt;"&amp;$A11,检修计划!$H$2:$H$992,1)</f>
        <v/>
      </c>
      <c r="E11" s="5">
        <f>COUNTIFS(检修计划!$E$2:$E$992,"4",检修计划!$F$2:$F$992,"&lt;"&amp;$A11+1,检修计划!$G$2:$G$992,"&gt;"&amp;$A11,检修计划!$H$2:$H$992,1)</f>
        <v/>
      </c>
      <c r="F11" s="5">
        <f>COUNTIFS(检修计划!$E$2:$E$992,"5",检修计划!$F$2:$F$992,"&lt;"&amp;$A11+1,检修计划!$G$2:$G$992,"&gt;"&amp;$A11,检修计划!$H$2:$H$992,1)</f>
        <v/>
      </c>
    </row>
    <row r="12" ht="23" customHeight="1">
      <c r="A12" s="9" t="n">
        <v>44937</v>
      </c>
      <c r="B12" s="5">
        <f>COUNTIFS(检修计划!$E$2:$E$992,"1",检修计划!$F$2:$F$992,"&lt;"&amp;$A12+1,检修计划!$G$2:$G$992,"&gt;"&amp;$A12,检修计划!$H$2:$H$992,1)</f>
        <v/>
      </c>
      <c r="C12" s="5">
        <f>COUNTIFS(检修计划!$E$2:$E$992,"2",检修计划!$F$2:$F$992,"&lt;"&amp;$A12+1,检修计划!$G$2:$G$992,"&gt;"&amp;$A12,检修计划!$H$2:$H$992,1)</f>
        <v/>
      </c>
      <c r="D12" s="5">
        <f>COUNTIFS(检修计划!$E$2:$E$992,"3",检修计划!$F$2:$F$992,"&lt;"&amp;$A12+1,检修计划!$G$2:$G$992,"&gt;"&amp;$A12,检修计划!$H$2:$H$992,1)</f>
        <v/>
      </c>
      <c r="E12" s="5">
        <f>COUNTIFS(检修计划!$E$2:$E$992,"4",检修计划!$F$2:$F$992,"&lt;"&amp;$A12+1,检修计划!$G$2:$G$992,"&gt;"&amp;$A12,检修计划!$H$2:$H$992,1)</f>
        <v/>
      </c>
      <c r="F12" s="5">
        <f>COUNTIFS(检修计划!$E$2:$E$992,"5",检修计划!$F$2:$F$992,"&lt;"&amp;$A12+1,检修计划!$G$2:$G$992,"&gt;"&amp;$A12,检修计划!$H$2:$H$992,1)</f>
        <v/>
      </c>
    </row>
    <row r="13" ht="23" customHeight="1">
      <c r="A13" s="9" t="n">
        <v>44938</v>
      </c>
      <c r="B13" s="5">
        <f>COUNTIFS(检修计划!$E$2:$E$992,"1",检修计划!$F$2:$F$992,"&lt;"&amp;$A13+1,检修计划!$G$2:$G$992,"&gt;"&amp;$A13,检修计划!$H$2:$H$992,1)</f>
        <v/>
      </c>
      <c r="C13" s="5">
        <f>COUNTIFS(检修计划!$E$2:$E$992,"2",检修计划!$F$2:$F$992,"&lt;"&amp;$A13+1,检修计划!$G$2:$G$992,"&gt;"&amp;$A13,检修计划!$H$2:$H$992,1)</f>
        <v/>
      </c>
      <c r="D13" s="5">
        <f>COUNTIFS(检修计划!$E$2:$E$992,"3",检修计划!$F$2:$F$992,"&lt;"&amp;$A13+1,检修计划!$G$2:$G$992,"&gt;"&amp;$A13,检修计划!$H$2:$H$992,1)</f>
        <v/>
      </c>
      <c r="E13" s="5">
        <f>COUNTIFS(检修计划!$E$2:$E$992,"4",检修计划!$F$2:$F$992,"&lt;"&amp;$A13+1,检修计划!$G$2:$G$992,"&gt;"&amp;$A13,检修计划!$H$2:$H$992,1)</f>
        <v/>
      </c>
      <c r="F13" s="5">
        <f>COUNTIFS(检修计划!$E$2:$E$992,"5",检修计划!$F$2:$F$992,"&lt;"&amp;$A13+1,检修计划!$G$2:$G$992,"&gt;"&amp;$A13,检修计划!$H$2:$H$992,1)</f>
        <v/>
      </c>
    </row>
    <row r="14" ht="23" customHeight="1">
      <c r="A14" s="9" t="n">
        <v>44939</v>
      </c>
      <c r="B14" s="5">
        <f>COUNTIFS(检修计划!$E$2:$E$992,"1",检修计划!$F$2:$F$992,"&lt;"&amp;$A14+1,检修计划!$G$2:$G$992,"&gt;"&amp;$A14,检修计划!$H$2:$H$992,1)</f>
        <v/>
      </c>
      <c r="C14" s="5">
        <f>COUNTIFS(检修计划!$E$2:$E$992,"2",检修计划!$F$2:$F$992,"&lt;"&amp;$A14+1,检修计划!$G$2:$G$992,"&gt;"&amp;$A14,检修计划!$H$2:$H$992,1)</f>
        <v/>
      </c>
      <c r="D14" s="5">
        <f>COUNTIFS(检修计划!$E$2:$E$992,"3",检修计划!$F$2:$F$992,"&lt;"&amp;$A14+1,检修计划!$G$2:$G$992,"&gt;"&amp;$A14,检修计划!$H$2:$H$992,1)</f>
        <v/>
      </c>
      <c r="E14" s="5">
        <f>COUNTIFS(检修计划!$E$2:$E$992,"4",检修计划!$F$2:$F$992,"&lt;"&amp;$A14+1,检修计划!$G$2:$G$992,"&gt;"&amp;$A14,检修计划!$H$2:$H$992,1)</f>
        <v/>
      </c>
      <c r="F14" s="5">
        <f>COUNTIFS(检修计划!$E$2:$E$992,"5",检修计划!$F$2:$F$992,"&lt;"&amp;$A14+1,检修计划!$G$2:$G$992,"&gt;"&amp;$A14,检修计划!$H$2:$H$992,1)</f>
        <v/>
      </c>
    </row>
    <row r="15" ht="23" customHeight="1">
      <c r="A15" s="9" t="n">
        <v>44940</v>
      </c>
      <c r="B15" s="5">
        <f>COUNTIFS(检修计划!$E$2:$E$992,"1",检修计划!$F$2:$F$992,"&lt;"&amp;$A15+1,检修计划!$G$2:$G$992,"&gt;"&amp;$A15,检修计划!$H$2:$H$992,1)</f>
        <v/>
      </c>
      <c r="C15" s="5">
        <f>COUNTIFS(检修计划!$E$2:$E$992,"2",检修计划!$F$2:$F$992,"&lt;"&amp;$A15+1,检修计划!$G$2:$G$992,"&gt;"&amp;$A15,检修计划!$H$2:$H$992,1)</f>
        <v/>
      </c>
      <c r="D15" s="5">
        <f>COUNTIFS(检修计划!$E$2:$E$992,"3",检修计划!$F$2:$F$992,"&lt;"&amp;$A15+1,检修计划!$G$2:$G$992,"&gt;"&amp;$A15,检修计划!$H$2:$H$992,1)</f>
        <v/>
      </c>
      <c r="E15" s="5">
        <f>COUNTIFS(检修计划!$E$2:$E$992,"4",检修计划!$F$2:$F$992,"&lt;"&amp;$A15+1,检修计划!$G$2:$G$992,"&gt;"&amp;$A15,检修计划!$H$2:$H$992,1)</f>
        <v/>
      </c>
      <c r="F15" s="5">
        <f>COUNTIFS(检修计划!$E$2:$E$992,"5",检修计划!$F$2:$F$992,"&lt;"&amp;$A15+1,检修计划!$G$2:$G$992,"&gt;"&amp;$A15,检修计划!$H$2:$H$992,1)</f>
        <v/>
      </c>
    </row>
    <row r="16" ht="23" customHeight="1">
      <c r="A16" s="9" t="n">
        <v>44941</v>
      </c>
      <c r="B16" s="5">
        <f>COUNTIFS(检修计划!$E$2:$E$992,"1",检修计划!$F$2:$F$992,"&lt;"&amp;$A16+1,检修计划!$G$2:$G$992,"&gt;"&amp;$A16,检修计划!$H$2:$H$992,1)</f>
        <v/>
      </c>
      <c r="C16" s="5">
        <f>COUNTIFS(检修计划!$E$2:$E$992,"2",检修计划!$F$2:$F$992,"&lt;"&amp;$A16+1,检修计划!$G$2:$G$992,"&gt;"&amp;$A16,检修计划!$H$2:$H$992,1)</f>
        <v/>
      </c>
      <c r="D16" s="5">
        <f>COUNTIFS(检修计划!$E$2:$E$992,"3",检修计划!$F$2:$F$992,"&lt;"&amp;$A16+1,检修计划!$G$2:$G$992,"&gt;"&amp;$A16,检修计划!$H$2:$H$992,1)</f>
        <v/>
      </c>
      <c r="E16" s="5">
        <f>COUNTIFS(检修计划!$E$2:$E$992,"4",检修计划!$F$2:$F$992,"&lt;"&amp;$A16+1,检修计划!$G$2:$G$992,"&gt;"&amp;$A16,检修计划!$H$2:$H$992,1)</f>
        <v/>
      </c>
      <c r="F16" s="5">
        <f>COUNTIFS(检修计划!$E$2:$E$992,"5",检修计划!$F$2:$F$992,"&lt;"&amp;$A16+1,检修计划!$G$2:$G$992,"&gt;"&amp;$A16,检修计划!$H$2:$H$992,1)</f>
        <v/>
      </c>
    </row>
    <row r="17" ht="23" customHeight="1">
      <c r="A17" s="9" t="n">
        <v>44942</v>
      </c>
      <c r="B17" s="5">
        <f>COUNTIFS(检修计划!$E$2:$E$992,"1",检修计划!$F$2:$F$992,"&lt;"&amp;$A17+1,检修计划!$G$2:$G$992,"&gt;"&amp;$A17,检修计划!$H$2:$H$992,1)</f>
        <v/>
      </c>
      <c r="C17" s="5">
        <f>COUNTIFS(检修计划!$E$2:$E$992,"2",检修计划!$F$2:$F$992,"&lt;"&amp;$A17+1,检修计划!$G$2:$G$992,"&gt;"&amp;$A17,检修计划!$H$2:$H$992,1)</f>
        <v/>
      </c>
      <c r="D17" s="5">
        <f>COUNTIFS(检修计划!$E$2:$E$992,"3",检修计划!$F$2:$F$992,"&lt;"&amp;$A17+1,检修计划!$G$2:$G$992,"&gt;"&amp;$A17,检修计划!$H$2:$H$992,1)</f>
        <v/>
      </c>
      <c r="E17" s="5">
        <f>COUNTIFS(检修计划!$E$2:$E$992,"4",检修计划!$F$2:$F$992,"&lt;"&amp;$A17+1,检修计划!$G$2:$G$992,"&gt;"&amp;$A17,检修计划!$H$2:$H$992,1)</f>
        <v/>
      </c>
      <c r="F17" s="5">
        <f>COUNTIFS(检修计划!$E$2:$E$992,"5",检修计划!$F$2:$F$992,"&lt;"&amp;$A17+1,检修计划!$G$2:$G$992,"&gt;"&amp;$A17,检修计划!$H$2:$H$992,1)</f>
        <v/>
      </c>
    </row>
    <row r="18" ht="23" customHeight="1">
      <c r="A18" s="9" t="n">
        <v>44943</v>
      </c>
      <c r="B18" s="5">
        <f>COUNTIFS(检修计划!$E$2:$E$992,"1",检修计划!$F$2:$F$992,"&lt;"&amp;$A18+1,检修计划!$G$2:$G$992,"&gt;"&amp;$A18,检修计划!$H$2:$H$992,1)</f>
        <v/>
      </c>
      <c r="C18" s="5">
        <f>COUNTIFS(检修计划!$E$2:$E$992,"2",检修计划!$F$2:$F$992,"&lt;"&amp;$A18+1,检修计划!$G$2:$G$992,"&gt;"&amp;$A18,检修计划!$H$2:$H$992,1)</f>
        <v/>
      </c>
      <c r="D18" s="5">
        <f>COUNTIFS(检修计划!$E$2:$E$992,"3",检修计划!$F$2:$F$992,"&lt;"&amp;$A18+1,检修计划!$G$2:$G$992,"&gt;"&amp;$A18,检修计划!$H$2:$H$992,1)</f>
        <v/>
      </c>
      <c r="E18" s="5">
        <f>COUNTIFS(检修计划!$E$2:$E$992,"4",检修计划!$F$2:$F$992,"&lt;"&amp;$A18+1,检修计划!$G$2:$G$992,"&gt;"&amp;$A18,检修计划!$H$2:$H$992,1)</f>
        <v/>
      </c>
      <c r="F18" s="5">
        <f>COUNTIFS(检修计划!$E$2:$E$992,"5",检修计划!$F$2:$F$992,"&lt;"&amp;$A18+1,检修计划!$G$2:$G$992,"&gt;"&amp;$A18,检修计划!$H$2:$H$992,1)</f>
        <v/>
      </c>
    </row>
    <row r="19" ht="23" customHeight="1">
      <c r="A19" s="9" t="n">
        <v>44944</v>
      </c>
      <c r="B19" s="5">
        <f>COUNTIFS(检修计划!$E$2:$E$992,"1",检修计划!$F$2:$F$992,"&lt;"&amp;$A19+1,检修计划!$G$2:$G$992,"&gt;"&amp;$A19,检修计划!$H$2:$H$992,1)</f>
        <v/>
      </c>
      <c r="C19" s="5">
        <f>COUNTIFS(检修计划!$E$2:$E$992,"2",检修计划!$F$2:$F$992,"&lt;"&amp;$A19+1,检修计划!$G$2:$G$992,"&gt;"&amp;$A19,检修计划!$H$2:$H$992,1)</f>
        <v/>
      </c>
      <c r="D19" s="5">
        <f>COUNTIFS(检修计划!$E$2:$E$992,"3",检修计划!$F$2:$F$992,"&lt;"&amp;$A19+1,检修计划!$G$2:$G$992,"&gt;"&amp;$A19,检修计划!$H$2:$H$992,1)</f>
        <v/>
      </c>
      <c r="E19" s="5">
        <f>COUNTIFS(检修计划!$E$2:$E$992,"4",检修计划!$F$2:$F$992,"&lt;"&amp;$A19+1,检修计划!$G$2:$G$992,"&gt;"&amp;$A19,检修计划!$H$2:$H$992,1)</f>
        <v/>
      </c>
      <c r="F19" s="5">
        <f>COUNTIFS(检修计划!$E$2:$E$992,"5",检修计划!$F$2:$F$992,"&lt;"&amp;$A19+1,检修计划!$G$2:$G$992,"&gt;"&amp;$A19,检修计划!$H$2:$H$992,1)</f>
        <v/>
      </c>
    </row>
    <row r="20" ht="23" customHeight="1">
      <c r="A20" s="9" t="n">
        <v>44945</v>
      </c>
      <c r="B20" s="5">
        <f>COUNTIFS(检修计划!$E$2:$E$992,"1",检修计划!$F$2:$F$992,"&lt;"&amp;$A20+1,检修计划!$G$2:$G$992,"&gt;"&amp;$A20,检修计划!$H$2:$H$992,1)</f>
        <v/>
      </c>
      <c r="C20" s="5">
        <f>COUNTIFS(检修计划!$E$2:$E$992,"2",检修计划!$F$2:$F$992,"&lt;"&amp;$A20+1,检修计划!$G$2:$G$992,"&gt;"&amp;$A20,检修计划!$H$2:$H$992,1)</f>
        <v/>
      </c>
      <c r="D20" s="5">
        <f>COUNTIFS(检修计划!$E$2:$E$992,"3",检修计划!$F$2:$F$992,"&lt;"&amp;$A20+1,检修计划!$G$2:$G$992,"&gt;"&amp;$A20,检修计划!$H$2:$H$992,1)</f>
        <v/>
      </c>
      <c r="E20" s="5">
        <f>COUNTIFS(检修计划!$E$2:$E$992,"4",检修计划!$F$2:$F$992,"&lt;"&amp;$A20+1,检修计划!$G$2:$G$992,"&gt;"&amp;$A20,检修计划!$H$2:$H$992,1)</f>
        <v/>
      </c>
      <c r="F20" s="5">
        <f>COUNTIFS(检修计划!$E$2:$E$992,"5",检修计划!$F$2:$F$992,"&lt;"&amp;$A20+1,检修计划!$G$2:$G$992,"&gt;"&amp;$A20,检修计划!$H$2:$H$992,1)</f>
        <v/>
      </c>
    </row>
    <row r="21" ht="23" customHeight="1">
      <c r="A21" s="9" t="n">
        <v>44946</v>
      </c>
      <c r="B21" s="5">
        <f>COUNTIFS(检修计划!$E$2:$E$992,"1",检修计划!$F$2:$F$992,"&lt;"&amp;$A21+1,检修计划!$G$2:$G$992,"&gt;"&amp;$A21,检修计划!$H$2:$H$992,1)</f>
        <v/>
      </c>
      <c r="C21" s="5">
        <f>COUNTIFS(检修计划!$E$2:$E$992,"2",检修计划!$F$2:$F$992,"&lt;"&amp;$A21+1,检修计划!$G$2:$G$992,"&gt;"&amp;$A21,检修计划!$H$2:$H$992,1)</f>
        <v/>
      </c>
      <c r="D21" s="5">
        <f>COUNTIFS(检修计划!$E$2:$E$992,"3",检修计划!$F$2:$F$992,"&lt;"&amp;$A21+1,检修计划!$G$2:$G$992,"&gt;"&amp;$A21,检修计划!$H$2:$H$992,1)</f>
        <v/>
      </c>
      <c r="E21" s="5">
        <f>COUNTIFS(检修计划!$E$2:$E$992,"4",检修计划!$F$2:$F$992,"&lt;"&amp;$A21+1,检修计划!$G$2:$G$992,"&gt;"&amp;$A21,检修计划!$H$2:$H$992,1)</f>
        <v/>
      </c>
      <c r="F21" s="5">
        <f>COUNTIFS(检修计划!$E$2:$E$992,"5",检修计划!$F$2:$F$992,"&lt;"&amp;$A21+1,检修计划!$G$2:$G$992,"&gt;"&amp;$A21,检修计划!$H$2:$H$992,1)</f>
        <v/>
      </c>
    </row>
    <row r="22" ht="23" customHeight="1">
      <c r="A22" s="9" t="n">
        <v>44947</v>
      </c>
      <c r="B22" s="5">
        <f>COUNTIFS(检修计划!$E$2:$E$992,"1",检修计划!$F$2:$F$992,"&lt;"&amp;$A22+1,检修计划!$G$2:$G$992,"&gt;"&amp;$A22,检修计划!$H$2:$H$992,1)</f>
        <v/>
      </c>
      <c r="C22" s="5">
        <f>COUNTIFS(检修计划!$E$2:$E$992,"2",检修计划!$F$2:$F$992,"&lt;"&amp;$A22+1,检修计划!$G$2:$G$992,"&gt;"&amp;$A22,检修计划!$H$2:$H$992,1)</f>
        <v/>
      </c>
      <c r="D22" s="5">
        <f>COUNTIFS(检修计划!$E$2:$E$992,"3",检修计划!$F$2:$F$992,"&lt;"&amp;$A22+1,检修计划!$G$2:$G$992,"&gt;"&amp;$A22,检修计划!$H$2:$H$992,1)</f>
        <v/>
      </c>
      <c r="E22" s="5">
        <f>COUNTIFS(检修计划!$E$2:$E$992,"4",检修计划!$F$2:$F$992,"&lt;"&amp;$A22+1,检修计划!$G$2:$G$992,"&gt;"&amp;$A22,检修计划!$H$2:$H$992,1)</f>
        <v/>
      </c>
      <c r="F22" s="5">
        <f>COUNTIFS(检修计划!$E$2:$E$992,"5",检修计划!$F$2:$F$992,"&lt;"&amp;$A22+1,检修计划!$G$2:$G$992,"&gt;"&amp;$A22,检修计划!$H$2:$H$992,1)</f>
        <v/>
      </c>
    </row>
    <row r="23" ht="23" customHeight="1">
      <c r="A23" s="9" t="n">
        <v>44948</v>
      </c>
      <c r="B23" s="5">
        <f>COUNTIFS(检修计划!$E$2:$E$992,"1",检修计划!$F$2:$F$992,"&lt;"&amp;$A23+1,检修计划!$G$2:$G$992,"&gt;"&amp;$A23,检修计划!$H$2:$H$992,1)</f>
        <v/>
      </c>
      <c r="C23" s="5">
        <f>COUNTIFS(检修计划!$E$2:$E$992,"2",检修计划!$F$2:$F$992,"&lt;"&amp;$A23+1,检修计划!$G$2:$G$992,"&gt;"&amp;$A23,检修计划!$H$2:$H$992,1)</f>
        <v/>
      </c>
      <c r="D23" s="5">
        <f>COUNTIFS(检修计划!$E$2:$E$992,"3",检修计划!$F$2:$F$992,"&lt;"&amp;$A23+1,检修计划!$G$2:$G$992,"&gt;"&amp;$A23,检修计划!$H$2:$H$992,1)</f>
        <v/>
      </c>
      <c r="E23" s="5">
        <f>COUNTIFS(检修计划!$E$2:$E$992,"4",检修计划!$F$2:$F$992,"&lt;"&amp;$A23+1,检修计划!$G$2:$G$992,"&gt;"&amp;$A23,检修计划!$H$2:$H$992,1)</f>
        <v/>
      </c>
      <c r="F23" s="5">
        <f>COUNTIFS(检修计划!$E$2:$E$992,"5",检修计划!$F$2:$F$992,"&lt;"&amp;$A23+1,检修计划!$G$2:$G$992,"&gt;"&amp;$A23,检修计划!$H$2:$H$992,1)</f>
        <v/>
      </c>
    </row>
    <row r="24" ht="23" customHeight="1">
      <c r="A24" s="9" t="n">
        <v>44949</v>
      </c>
      <c r="B24" s="5">
        <f>COUNTIFS(检修计划!$E$2:$E$992,"1",检修计划!$F$2:$F$992,"&lt;"&amp;$A24+1,检修计划!$G$2:$G$992,"&gt;"&amp;$A24,检修计划!$H$2:$H$992,1)</f>
        <v/>
      </c>
      <c r="C24" s="5">
        <f>COUNTIFS(检修计划!$E$2:$E$992,"2",检修计划!$F$2:$F$992,"&lt;"&amp;$A24+1,检修计划!$G$2:$G$992,"&gt;"&amp;$A24,检修计划!$H$2:$H$992,1)</f>
        <v/>
      </c>
      <c r="D24" s="5">
        <f>COUNTIFS(检修计划!$E$2:$E$992,"3",检修计划!$F$2:$F$992,"&lt;"&amp;$A24+1,检修计划!$G$2:$G$992,"&gt;"&amp;$A24,检修计划!$H$2:$H$992,1)</f>
        <v/>
      </c>
      <c r="E24" s="5">
        <f>COUNTIFS(检修计划!$E$2:$E$992,"4",检修计划!$F$2:$F$992,"&lt;"&amp;$A24+1,检修计划!$G$2:$G$992,"&gt;"&amp;$A24,检修计划!$H$2:$H$992,1)</f>
        <v/>
      </c>
      <c r="F24" s="5">
        <f>COUNTIFS(检修计划!$E$2:$E$992,"5",检修计划!$F$2:$F$992,"&lt;"&amp;$A24+1,检修计划!$G$2:$G$992,"&gt;"&amp;$A24,检修计划!$H$2:$H$992,1)</f>
        <v/>
      </c>
    </row>
    <row r="25" ht="23" customHeight="1">
      <c r="A25" s="9" t="n">
        <v>44950</v>
      </c>
      <c r="B25" s="5">
        <f>COUNTIFS(检修计划!$E$2:$E$992,"1",检修计划!$F$2:$F$992,"&lt;"&amp;$A25+1,检修计划!$G$2:$G$992,"&gt;"&amp;$A25,检修计划!$H$2:$H$992,1)</f>
        <v/>
      </c>
      <c r="C25" s="5">
        <f>COUNTIFS(检修计划!$E$2:$E$992,"2",检修计划!$F$2:$F$992,"&lt;"&amp;$A25+1,检修计划!$G$2:$G$992,"&gt;"&amp;$A25,检修计划!$H$2:$H$992,1)</f>
        <v/>
      </c>
      <c r="D25" s="5">
        <f>COUNTIFS(检修计划!$E$2:$E$992,"3",检修计划!$F$2:$F$992,"&lt;"&amp;$A25+1,检修计划!$G$2:$G$992,"&gt;"&amp;$A25,检修计划!$H$2:$H$992,1)</f>
        <v/>
      </c>
      <c r="E25" s="5">
        <f>COUNTIFS(检修计划!$E$2:$E$992,"4",检修计划!$F$2:$F$992,"&lt;"&amp;$A25+1,检修计划!$G$2:$G$992,"&gt;"&amp;$A25,检修计划!$H$2:$H$992,1)</f>
        <v/>
      </c>
      <c r="F25" s="5">
        <f>COUNTIFS(检修计划!$E$2:$E$992,"5",检修计划!$F$2:$F$992,"&lt;"&amp;$A25+1,检修计划!$G$2:$G$992,"&gt;"&amp;$A25,检修计划!$H$2:$H$992,1)</f>
        <v/>
      </c>
    </row>
    <row r="26" ht="23" customHeight="1">
      <c r="A26" s="9" t="n">
        <v>44951</v>
      </c>
      <c r="B26" s="5">
        <f>COUNTIFS(检修计划!$E$2:$E$992,"1",检修计划!$F$2:$F$992,"&lt;"&amp;$A26+1,检修计划!$G$2:$G$992,"&gt;"&amp;$A26,检修计划!$H$2:$H$992,1)</f>
        <v/>
      </c>
      <c r="C26" s="5">
        <f>COUNTIFS(检修计划!$E$2:$E$992,"2",检修计划!$F$2:$F$992,"&lt;"&amp;$A26+1,检修计划!$G$2:$G$992,"&gt;"&amp;$A26,检修计划!$H$2:$H$992,1)</f>
        <v/>
      </c>
      <c r="D26" s="5">
        <f>COUNTIFS(检修计划!$E$2:$E$992,"3",检修计划!$F$2:$F$992,"&lt;"&amp;$A26+1,检修计划!$G$2:$G$992,"&gt;"&amp;$A26,检修计划!$H$2:$H$992,1)</f>
        <v/>
      </c>
      <c r="E26" s="5">
        <f>COUNTIFS(检修计划!$E$2:$E$992,"4",检修计划!$F$2:$F$992,"&lt;"&amp;$A26+1,检修计划!$G$2:$G$992,"&gt;"&amp;$A26,检修计划!$H$2:$H$992,1)</f>
        <v/>
      </c>
      <c r="F26" s="5">
        <f>COUNTIFS(检修计划!$E$2:$E$992,"5",检修计划!$F$2:$F$992,"&lt;"&amp;$A26+1,检修计划!$G$2:$G$992,"&gt;"&amp;$A26,检修计划!$H$2:$H$992,1)</f>
        <v/>
      </c>
    </row>
    <row r="27" ht="23" customHeight="1">
      <c r="A27" s="9" t="n">
        <v>44952</v>
      </c>
      <c r="B27" s="5">
        <f>COUNTIFS(检修计划!$E$2:$E$992,"1",检修计划!$F$2:$F$992,"&lt;"&amp;$A27+1,检修计划!$G$2:$G$992,"&gt;"&amp;$A27,检修计划!$H$2:$H$992,1)</f>
        <v/>
      </c>
      <c r="C27" s="5">
        <f>COUNTIFS(检修计划!$E$2:$E$992,"2",检修计划!$F$2:$F$992,"&lt;"&amp;$A27+1,检修计划!$G$2:$G$992,"&gt;"&amp;$A27,检修计划!$H$2:$H$992,1)</f>
        <v/>
      </c>
      <c r="D27" s="5">
        <f>COUNTIFS(检修计划!$E$2:$E$992,"3",检修计划!$F$2:$F$992,"&lt;"&amp;$A27+1,检修计划!$G$2:$G$992,"&gt;"&amp;$A27,检修计划!$H$2:$H$992,1)</f>
        <v/>
      </c>
      <c r="E27" s="5">
        <f>COUNTIFS(检修计划!$E$2:$E$992,"4",检修计划!$F$2:$F$992,"&lt;"&amp;$A27+1,检修计划!$G$2:$G$992,"&gt;"&amp;$A27,检修计划!$H$2:$H$992,1)</f>
        <v/>
      </c>
      <c r="F27" s="5">
        <f>COUNTIFS(检修计划!$E$2:$E$992,"5",检修计划!$F$2:$F$992,"&lt;"&amp;$A27+1,检修计划!$G$2:$G$992,"&gt;"&amp;$A27,检修计划!$H$2:$H$992,1)</f>
        <v/>
      </c>
    </row>
    <row r="28" ht="23" customHeight="1">
      <c r="A28" s="9" t="n">
        <v>44953</v>
      </c>
      <c r="B28" s="5">
        <f>COUNTIFS(检修计划!$E$2:$E$992,"1",检修计划!$F$2:$F$992,"&lt;"&amp;$A28+1,检修计划!$G$2:$G$992,"&gt;"&amp;$A28,检修计划!$H$2:$H$992,1)</f>
        <v/>
      </c>
      <c r="C28" s="5">
        <f>COUNTIFS(检修计划!$E$2:$E$992,"2",检修计划!$F$2:$F$992,"&lt;"&amp;$A28+1,检修计划!$G$2:$G$992,"&gt;"&amp;$A28,检修计划!$H$2:$H$992,1)</f>
        <v/>
      </c>
      <c r="D28" s="5">
        <f>COUNTIFS(检修计划!$E$2:$E$992,"3",检修计划!$F$2:$F$992,"&lt;"&amp;$A28+1,检修计划!$G$2:$G$992,"&gt;"&amp;$A28,检修计划!$H$2:$H$992,1)</f>
        <v/>
      </c>
      <c r="E28" s="5">
        <f>COUNTIFS(检修计划!$E$2:$E$992,"4",检修计划!$F$2:$F$992,"&lt;"&amp;$A28+1,检修计划!$G$2:$G$992,"&gt;"&amp;$A28,检修计划!$H$2:$H$992,1)</f>
        <v/>
      </c>
      <c r="F28" s="5">
        <f>COUNTIFS(检修计划!$E$2:$E$992,"5",检修计划!$F$2:$F$992,"&lt;"&amp;$A28+1,检修计划!$G$2:$G$992,"&gt;"&amp;$A28,检修计划!$H$2:$H$992,1)</f>
        <v/>
      </c>
    </row>
    <row r="29" ht="23" customHeight="1">
      <c r="A29" s="9" t="n">
        <v>44954</v>
      </c>
      <c r="B29" s="5">
        <f>COUNTIFS(检修计划!$E$2:$E$992,"1",检修计划!$F$2:$F$992,"&lt;"&amp;$A29+1,检修计划!$G$2:$G$992,"&gt;"&amp;$A29,检修计划!$H$2:$H$992,1)</f>
        <v/>
      </c>
      <c r="C29" s="5">
        <f>COUNTIFS(检修计划!$E$2:$E$992,"2",检修计划!$F$2:$F$992,"&lt;"&amp;$A29+1,检修计划!$G$2:$G$992,"&gt;"&amp;$A29,检修计划!$H$2:$H$992,1)</f>
        <v/>
      </c>
      <c r="D29" s="5">
        <f>COUNTIFS(检修计划!$E$2:$E$992,"3",检修计划!$F$2:$F$992,"&lt;"&amp;$A29+1,检修计划!$G$2:$G$992,"&gt;"&amp;$A29,检修计划!$H$2:$H$992,1)</f>
        <v/>
      </c>
      <c r="E29" s="5">
        <f>COUNTIFS(检修计划!$E$2:$E$992,"4",检修计划!$F$2:$F$992,"&lt;"&amp;$A29+1,检修计划!$G$2:$G$992,"&gt;"&amp;$A29,检修计划!$H$2:$H$992,1)</f>
        <v/>
      </c>
      <c r="F29" s="5">
        <f>COUNTIFS(检修计划!$E$2:$E$992,"5",检修计划!$F$2:$F$992,"&lt;"&amp;$A29+1,检修计划!$G$2:$G$992,"&gt;"&amp;$A29,检修计划!$H$2:$H$992,1)</f>
        <v/>
      </c>
    </row>
    <row r="30" ht="23" customHeight="1">
      <c r="A30" s="9" t="n">
        <v>44955</v>
      </c>
      <c r="B30" s="5">
        <f>COUNTIFS(检修计划!$E$2:$E$992,"1",检修计划!$F$2:$F$992,"&lt;"&amp;$A30+1,检修计划!$G$2:$G$992,"&gt;"&amp;$A30,检修计划!$H$2:$H$992,1)</f>
        <v/>
      </c>
      <c r="C30" s="5">
        <f>COUNTIFS(检修计划!$E$2:$E$992,"2",检修计划!$F$2:$F$992,"&lt;"&amp;$A30+1,检修计划!$G$2:$G$992,"&gt;"&amp;$A30,检修计划!$H$2:$H$992,1)</f>
        <v/>
      </c>
      <c r="D30" s="5">
        <f>COUNTIFS(检修计划!$E$2:$E$992,"3",检修计划!$F$2:$F$992,"&lt;"&amp;$A30+1,检修计划!$G$2:$G$992,"&gt;"&amp;$A30,检修计划!$H$2:$H$992,1)</f>
        <v/>
      </c>
      <c r="E30" s="5">
        <f>COUNTIFS(检修计划!$E$2:$E$992,"4",检修计划!$F$2:$F$992,"&lt;"&amp;$A30+1,检修计划!$G$2:$G$992,"&gt;"&amp;$A30,检修计划!$H$2:$H$992,1)</f>
        <v/>
      </c>
      <c r="F30" s="5">
        <f>COUNTIFS(检修计划!$E$2:$E$992,"5",检修计划!$F$2:$F$992,"&lt;"&amp;$A30+1,检修计划!$G$2:$G$992,"&gt;"&amp;$A30,检修计划!$H$2:$H$992,1)</f>
        <v/>
      </c>
    </row>
    <row r="31" ht="23" customHeight="1">
      <c r="A31" s="9" t="n">
        <v>44956</v>
      </c>
      <c r="B31" s="5">
        <f>COUNTIFS(检修计划!$E$2:$E$992,"1",检修计划!$F$2:$F$992,"&lt;"&amp;$A31+1,检修计划!$G$2:$G$992,"&gt;"&amp;$A31,检修计划!$H$2:$H$992,1)</f>
        <v/>
      </c>
      <c r="C31" s="5">
        <f>COUNTIFS(检修计划!$E$2:$E$992,"2",检修计划!$F$2:$F$992,"&lt;"&amp;$A31+1,检修计划!$G$2:$G$992,"&gt;"&amp;$A31,检修计划!$H$2:$H$992,1)</f>
        <v/>
      </c>
      <c r="D31" s="5">
        <f>COUNTIFS(检修计划!$E$2:$E$992,"3",检修计划!$F$2:$F$992,"&lt;"&amp;$A31+1,检修计划!$G$2:$G$992,"&gt;"&amp;$A31,检修计划!$H$2:$H$992,1)</f>
        <v/>
      </c>
      <c r="E31" s="5">
        <f>COUNTIFS(检修计划!$E$2:$E$992,"4",检修计划!$F$2:$F$992,"&lt;"&amp;$A31+1,检修计划!$G$2:$G$992,"&gt;"&amp;$A31,检修计划!$H$2:$H$992,1)</f>
        <v/>
      </c>
      <c r="F31" s="5">
        <f>COUNTIFS(检修计划!$E$2:$E$992,"5",检修计划!$F$2:$F$992,"&lt;"&amp;$A31+1,检修计划!$G$2:$G$992,"&gt;"&amp;$A31,检修计划!$H$2:$H$992,1)</f>
        <v/>
      </c>
    </row>
    <row r="32" ht="23" customHeight="1">
      <c r="A32" s="9" t="n">
        <v>44957</v>
      </c>
      <c r="B32" s="5">
        <f>COUNTIFS(检修计划!$E$2:$E$992,"1",检修计划!$F$2:$F$992,"&lt;"&amp;$A32+1,检修计划!$G$2:$G$992,"&gt;"&amp;$A32,检修计划!$H$2:$H$992,1)</f>
        <v/>
      </c>
      <c r="C32" s="5">
        <f>COUNTIFS(检修计划!$E$2:$E$992,"2",检修计划!$F$2:$F$992,"&lt;"&amp;$A32+1,检修计划!$G$2:$G$992,"&gt;"&amp;$A32,检修计划!$H$2:$H$992,1)</f>
        <v/>
      </c>
      <c r="D32" s="5">
        <f>COUNTIFS(检修计划!$E$2:$E$992,"3",检修计划!$F$2:$F$992,"&lt;"&amp;$A32+1,检修计划!$G$2:$G$992,"&gt;"&amp;$A32,检修计划!$H$2:$H$992,1)</f>
        <v/>
      </c>
      <c r="E32" s="5">
        <f>COUNTIFS(检修计划!$E$2:$E$992,"4",检修计划!$F$2:$F$992,"&lt;"&amp;$A32+1,检修计划!$G$2:$G$992,"&gt;"&amp;$A32,检修计划!$H$2:$H$992,1)</f>
        <v/>
      </c>
      <c r="F32" s="5">
        <f>COUNTIFS(检修计划!$E$2:$E$992,"5",检修计划!$F$2:$F$992,"&lt;"&amp;$A32+1,检修计划!$G$2:$G$992,"&gt;"&amp;$A32,检修计划!$H$2:$H$992,1)</f>
        <v/>
      </c>
    </row>
    <row r="33" ht="23" customHeight="1">
      <c r="A33" s="9" t="n">
        <v>44958</v>
      </c>
      <c r="B33" s="5">
        <f>COUNTIFS(检修计划!$E$2:$E$992,"1",检修计划!$F$2:$F$992,"&lt;"&amp;$A33+1,检修计划!$G$2:$G$992,"&gt;"&amp;$A33,检修计划!$H$2:$H$992,1)</f>
        <v/>
      </c>
      <c r="C33" s="5">
        <f>COUNTIFS(检修计划!$E$2:$E$992,"2",检修计划!$F$2:$F$992,"&lt;"&amp;$A33+1,检修计划!$G$2:$G$992,"&gt;"&amp;$A33,检修计划!$H$2:$H$992,1)</f>
        <v/>
      </c>
      <c r="D33" s="5">
        <f>COUNTIFS(检修计划!$E$2:$E$992,"3",检修计划!$F$2:$F$992,"&lt;"&amp;$A33+1,检修计划!$G$2:$G$992,"&gt;"&amp;$A33,检修计划!$H$2:$H$992,1)</f>
        <v/>
      </c>
      <c r="E33" s="5">
        <f>COUNTIFS(检修计划!$E$2:$E$992,"4",检修计划!$F$2:$F$992,"&lt;"&amp;$A33+1,检修计划!$G$2:$G$992,"&gt;"&amp;$A33,检修计划!$H$2:$H$992,1)</f>
        <v/>
      </c>
      <c r="F33" s="5">
        <f>COUNTIFS(检修计划!$E$2:$E$992,"5",检修计划!$F$2:$F$992,"&lt;"&amp;$A33+1,检修计划!$G$2:$G$992,"&gt;"&amp;$A33,检修计划!$H$2:$H$992,1)</f>
        <v/>
      </c>
    </row>
    <row r="34" ht="23" customHeight="1">
      <c r="A34" s="9" t="n">
        <v>44959</v>
      </c>
      <c r="B34" s="5">
        <f>COUNTIFS(检修计划!$E$2:$E$992,"1",检修计划!$F$2:$F$992,"&lt;"&amp;$A34+1,检修计划!$G$2:$G$992,"&gt;"&amp;$A34,检修计划!$H$2:$H$992,1)</f>
        <v/>
      </c>
      <c r="C34" s="5">
        <f>COUNTIFS(检修计划!$E$2:$E$992,"2",检修计划!$F$2:$F$992,"&lt;"&amp;$A34+1,检修计划!$G$2:$G$992,"&gt;"&amp;$A34,检修计划!$H$2:$H$992,1)</f>
        <v/>
      </c>
      <c r="D34" s="5">
        <f>COUNTIFS(检修计划!$E$2:$E$992,"3",检修计划!$F$2:$F$992,"&lt;"&amp;$A34+1,检修计划!$G$2:$G$992,"&gt;"&amp;$A34,检修计划!$H$2:$H$992,1)</f>
        <v/>
      </c>
      <c r="E34" s="5">
        <f>COUNTIFS(检修计划!$E$2:$E$992,"4",检修计划!$F$2:$F$992,"&lt;"&amp;$A34+1,检修计划!$G$2:$G$992,"&gt;"&amp;$A34,检修计划!$H$2:$H$992,1)</f>
        <v/>
      </c>
      <c r="F34" s="5">
        <f>COUNTIFS(检修计划!$E$2:$E$992,"5",检修计划!$F$2:$F$992,"&lt;"&amp;$A34+1,检修计划!$G$2:$G$992,"&gt;"&amp;$A34,检修计划!$H$2:$H$992,1)</f>
        <v/>
      </c>
    </row>
    <row r="35" ht="23" customHeight="1">
      <c r="A35" s="9" t="n">
        <v>44960</v>
      </c>
      <c r="B35" s="5">
        <f>COUNTIFS(检修计划!$E$2:$E$992,"1",检修计划!$F$2:$F$992,"&lt;"&amp;$A35+1,检修计划!$G$2:$G$992,"&gt;"&amp;$A35,检修计划!$H$2:$H$992,1)</f>
        <v/>
      </c>
      <c r="C35" s="5">
        <f>COUNTIFS(检修计划!$E$2:$E$992,"2",检修计划!$F$2:$F$992,"&lt;"&amp;$A35+1,检修计划!$G$2:$G$992,"&gt;"&amp;$A35,检修计划!$H$2:$H$992,1)</f>
        <v/>
      </c>
      <c r="D35" s="5">
        <f>COUNTIFS(检修计划!$E$2:$E$992,"3",检修计划!$F$2:$F$992,"&lt;"&amp;$A35+1,检修计划!$G$2:$G$992,"&gt;"&amp;$A35,检修计划!$H$2:$H$992,1)</f>
        <v/>
      </c>
      <c r="E35" s="5">
        <f>COUNTIFS(检修计划!$E$2:$E$992,"4",检修计划!$F$2:$F$992,"&lt;"&amp;$A35+1,检修计划!$G$2:$G$992,"&gt;"&amp;$A35,检修计划!$H$2:$H$992,1)</f>
        <v/>
      </c>
      <c r="F35" s="5">
        <f>COUNTIFS(检修计划!$E$2:$E$992,"5",检修计划!$F$2:$F$992,"&lt;"&amp;$A35+1,检修计划!$G$2:$G$992,"&gt;"&amp;$A35,检修计划!$H$2:$H$992,1)</f>
        <v/>
      </c>
    </row>
    <row r="36" ht="23" customHeight="1">
      <c r="A36" s="9" t="n">
        <v>44961</v>
      </c>
      <c r="B36" s="5">
        <f>COUNTIFS(检修计划!$E$2:$E$992,"1",检修计划!$F$2:$F$992,"&lt;"&amp;$A36+1,检修计划!$G$2:$G$992,"&gt;"&amp;$A36,检修计划!$H$2:$H$992,1)</f>
        <v/>
      </c>
      <c r="C36" s="5">
        <f>COUNTIFS(检修计划!$E$2:$E$992,"2",检修计划!$F$2:$F$992,"&lt;"&amp;$A36+1,检修计划!$G$2:$G$992,"&gt;"&amp;$A36,检修计划!$H$2:$H$992,1)</f>
        <v/>
      </c>
      <c r="D36" s="5">
        <f>COUNTIFS(检修计划!$E$2:$E$992,"3",检修计划!$F$2:$F$992,"&lt;"&amp;$A36+1,检修计划!$G$2:$G$992,"&gt;"&amp;$A36,检修计划!$H$2:$H$992,1)</f>
        <v/>
      </c>
      <c r="E36" s="5">
        <f>COUNTIFS(检修计划!$E$2:$E$992,"4",检修计划!$F$2:$F$992,"&lt;"&amp;$A36+1,检修计划!$G$2:$G$992,"&gt;"&amp;$A36,检修计划!$H$2:$H$992,1)</f>
        <v/>
      </c>
      <c r="F36" s="5">
        <f>COUNTIFS(检修计划!$E$2:$E$992,"5",检修计划!$F$2:$F$992,"&lt;"&amp;$A36+1,检修计划!$G$2:$G$992,"&gt;"&amp;$A36,检修计划!$H$2:$H$992,1)</f>
        <v/>
      </c>
    </row>
    <row r="37" ht="23" customHeight="1">
      <c r="A37" s="9" t="n">
        <v>44962</v>
      </c>
      <c r="B37" s="5">
        <f>COUNTIFS(检修计划!$E$2:$E$992,"1",检修计划!$F$2:$F$992,"&lt;"&amp;$A37+1,检修计划!$G$2:$G$992,"&gt;"&amp;$A37,检修计划!$H$2:$H$992,1)</f>
        <v/>
      </c>
      <c r="C37" s="5">
        <f>COUNTIFS(检修计划!$E$2:$E$992,"2",检修计划!$F$2:$F$992,"&lt;"&amp;$A37+1,检修计划!$G$2:$G$992,"&gt;"&amp;$A37,检修计划!$H$2:$H$992,1)</f>
        <v/>
      </c>
      <c r="D37" s="5">
        <f>COUNTIFS(检修计划!$E$2:$E$992,"3",检修计划!$F$2:$F$992,"&lt;"&amp;$A37+1,检修计划!$G$2:$G$992,"&gt;"&amp;$A37,检修计划!$H$2:$H$992,1)</f>
        <v/>
      </c>
      <c r="E37" s="5">
        <f>COUNTIFS(检修计划!$E$2:$E$992,"4",检修计划!$F$2:$F$992,"&lt;"&amp;$A37+1,检修计划!$G$2:$G$992,"&gt;"&amp;$A37,检修计划!$H$2:$H$992,1)</f>
        <v/>
      </c>
      <c r="F37" s="5">
        <f>COUNTIFS(检修计划!$E$2:$E$992,"5",检修计划!$F$2:$F$992,"&lt;"&amp;$A37+1,检修计划!$G$2:$G$992,"&gt;"&amp;$A37,检修计划!$H$2:$H$992,1)</f>
        <v/>
      </c>
    </row>
    <row r="38" ht="23" customHeight="1">
      <c r="A38" s="9" t="n">
        <v>44963</v>
      </c>
      <c r="B38" s="5">
        <f>COUNTIFS(检修计划!$E$2:$E$992,"1",检修计划!$F$2:$F$992,"&lt;"&amp;$A38+1,检修计划!$G$2:$G$992,"&gt;"&amp;$A38,检修计划!$H$2:$H$992,1)</f>
        <v/>
      </c>
      <c r="C38" s="5">
        <f>COUNTIFS(检修计划!$E$2:$E$992,"2",检修计划!$F$2:$F$992,"&lt;"&amp;$A38+1,检修计划!$G$2:$G$992,"&gt;"&amp;$A38,检修计划!$H$2:$H$992,1)</f>
        <v/>
      </c>
      <c r="D38" s="5">
        <f>COUNTIFS(检修计划!$E$2:$E$992,"3",检修计划!$F$2:$F$992,"&lt;"&amp;$A38+1,检修计划!$G$2:$G$992,"&gt;"&amp;$A38,检修计划!$H$2:$H$992,1)</f>
        <v/>
      </c>
      <c r="E38" s="5">
        <f>COUNTIFS(检修计划!$E$2:$E$992,"4",检修计划!$F$2:$F$992,"&lt;"&amp;$A38+1,检修计划!$G$2:$G$992,"&gt;"&amp;$A38,检修计划!$H$2:$H$992,1)</f>
        <v/>
      </c>
      <c r="F38" s="5">
        <f>COUNTIFS(检修计划!$E$2:$E$992,"5",检修计划!$F$2:$F$992,"&lt;"&amp;$A38+1,检修计划!$G$2:$G$992,"&gt;"&amp;$A38,检修计划!$H$2:$H$992,1)</f>
        <v/>
      </c>
    </row>
    <row r="39" ht="23" customHeight="1">
      <c r="A39" s="9" t="n">
        <v>44964</v>
      </c>
      <c r="B39" s="5">
        <f>COUNTIFS(检修计划!$E$2:$E$992,"1",检修计划!$F$2:$F$992,"&lt;"&amp;$A39+1,检修计划!$G$2:$G$992,"&gt;"&amp;$A39,检修计划!$H$2:$H$992,1)</f>
        <v/>
      </c>
      <c r="C39" s="5">
        <f>COUNTIFS(检修计划!$E$2:$E$992,"2",检修计划!$F$2:$F$992,"&lt;"&amp;$A39+1,检修计划!$G$2:$G$992,"&gt;"&amp;$A39,检修计划!$H$2:$H$992,1)</f>
        <v/>
      </c>
      <c r="D39" s="5">
        <f>COUNTIFS(检修计划!$E$2:$E$992,"3",检修计划!$F$2:$F$992,"&lt;"&amp;$A39+1,检修计划!$G$2:$G$992,"&gt;"&amp;$A39,检修计划!$H$2:$H$992,1)</f>
        <v/>
      </c>
      <c r="E39" s="5">
        <f>COUNTIFS(检修计划!$E$2:$E$992,"4",检修计划!$F$2:$F$992,"&lt;"&amp;$A39+1,检修计划!$G$2:$G$992,"&gt;"&amp;$A39,检修计划!$H$2:$H$992,1)</f>
        <v/>
      </c>
      <c r="F39" s="5">
        <f>COUNTIFS(检修计划!$E$2:$E$992,"5",检修计划!$F$2:$F$992,"&lt;"&amp;$A39+1,检修计划!$G$2:$G$992,"&gt;"&amp;$A39,检修计划!$H$2:$H$992,1)</f>
        <v/>
      </c>
    </row>
    <row r="40" ht="23" customHeight="1">
      <c r="A40" s="9" t="n">
        <v>44965</v>
      </c>
      <c r="B40" s="5">
        <f>COUNTIFS(检修计划!$E$2:$E$992,"1",检修计划!$F$2:$F$992,"&lt;"&amp;$A40+1,检修计划!$G$2:$G$992,"&gt;"&amp;$A40,检修计划!$H$2:$H$992,1)</f>
        <v/>
      </c>
      <c r="C40" s="5">
        <f>COUNTIFS(检修计划!$E$2:$E$992,"2",检修计划!$F$2:$F$992,"&lt;"&amp;$A40+1,检修计划!$G$2:$G$992,"&gt;"&amp;$A40,检修计划!$H$2:$H$992,1)</f>
        <v/>
      </c>
      <c r="D40" s="5">
        <f>COUNTIFS(检修计划!$E$2:$E$992,"3",检修计划!$F$2:$F$992,"&lt;"&amp;$A40+1,检修计划!$G$2:$G$992,"&gt;"&amp;$A40,检修计划!$H$2:$H$992,1)</f>
        <v/>
      </c>
      <c r="E40" s="5">
        <f>COUNTIFS(检修计划!$E$2:$E$992,"4",检修计划!$F$2:$F$992,"&lt;"&amp;$A40+1,检修计划!$G$2:$G$992,"&gt;"&amp;$A40,检修计划!$H$2:$H$992,1)</f>
        <v/>
      </c>
      <c r="F40" s="5">
        <f>COUNTIFS(检修计划!$E$2:$E$992,"5",检修计划!$F$2:$F$992,"&lt;"&amp;$A40+1,检修计划!$G$2:$G$992,"&gt;"&amp;$A40,检修计划!$H$2:$H$992,1)</f>
        <v/>
      </c>
    </row>
    <row r="41" ht="23" customHeight="1">
      <c r="A41" s="9" t="n">
        <v>44966</v>
      </c>
      <c r="B41" s="5">
        <f>COUNTIFS(检修计划!$E$2:$E$992,"1",检修计划!$F$2:$F$992,"&lt;"&amp;$A41+1,检修计划!$G$2:$G$992,"&gt;"&amp;$A41,检修计划!$H$2:$H$992,1)</f>
        <v/>
      </c>
      <c r="C41" s="5">
        <f>COUNTIFS(检修计划!$E$2:$E$992,"2",检修计划!$F$2:$F$992,"&lt;"&amp;$A41+1,检修计划!$G$2:$G$992,"&gt;"&amp;$A41,检修计划!$H$2:$H$992,1)</f>
        <v/>
      </c>
      <c r="D41" s="5">
        <f>COUNTIFS(检修计划!$E$2:$E$992,"3",检修计划!$F$2:$F$992,"&lt;"&amp;$A41+1,检修计划!$G$2:$G$992,"&gt;"&amp;$A41,检修计划!$H$2:$H$992,1)</f>
        <v/>
      </c>
      <c r="E41" s="5">
        <f>COUNTIFS(检修计划!$E$2:$E$992,"4",检修计划!$F$2:$F$992,"&lt;"&amp;$A41+1,检修计划!$G$2:$G$992,"&gt;"&amp;$A41,检修计划!$H$2:$H$992,1)</f>
        <v/>
      </c>
      <c r="F41" s="5">
        <f>COUNTIFS(检修计划!$E$2:$E$992,"5",检修计划!$F$2:$F$992,"&lt;"&amp;$A41+1,检修计划!$G$2:$G$992,"&gt;"&amp;$A41,检修计划!$H$2:$H$992,1)</f>
        <v/>
      </c>
    </row>
    <row r="42" ht="23" customHeight="1">
      <c r="A42" s="9" t="n">
        <v>44967</v>
      </c>
      <c r="B42" s="5">
        <f>COUNTIFS(检修计划!$E$2:$E$992,"1",检修计划!$F$2:$F$992,"&lt;"&amp;$A42+1,检修计划!$G$2:$G$992,"&gt;"&amp;$A42,检修计划!$H$2:$H$992,1)</f>
        <v/>
      </c>
      <c r="C42" s="5">
        <f>COUNTIFS(检修计划!$E$2:$E$992,"2",检修计划!$F$2:$F$992,"&lt;"&amp;$A42+1,检修计划!$G$2:$G$992,"&gt;"&amp;$A42,检修计划!$H$2:$H$992,1)</f>
        <v/>
      </c>
      <c r="D42" s="5">
        <f>COUNTIFS(检修计划!$E$2:$E$992,"3",检修计划!$F$2:$F$992,"&lt;"&amp;$A42+1,检修计划!$G$2:$G$992,"&gt;"&amp;$A42,检修计划!$H$2:$H$992,1)</f>
        <v/>
      </c>
      <c r="E42" s="5">
        <f>COUNTIFS(检修计划!$E$2:$E$992,"4",检修计划!$F$2:$F$992,"&lt;"&amp;$A42+1,检修计划!$G$2:$G$992,"&gt;"&amp;$A42,检修计划!$H$2:$H$992,1)</f>
        <v/>
      </c>
      <c r="F42" s="5">
        <f>COUNTIFS(检修计划!$E$2:$E$992,"5",检修计划!$F$2:$F$992,"&lt;"&amp;$A42+1,检修计划!$G$2:$G$992,"&gt;"&amp;$A42,检修计划!$H$2:$H$992,1)</f>
        <v/>
      </c>
    </row>
    <row r="43" ht="23" customHeight="1">
      <c r="A43" s="9" t="n">
        <v>44968</v>
      </c>
      <c r="B43" s="5">
        <f>COUNTIFS(检修计划!$E$2:$E$992,"1",检修计划!$F$2:$F$992,"&lt;"&amp;$A43+1,检修计划!$G$2:$G$992,"&gt;"&amp;$A43,检修计划!$H$2:$H$992,1)</f>
        <v/>
      </c>
      <c r="C43" s="5">
        <f>COUNTIFS(检修计划!$E$2:$E$992,"2",检修计划!$F$2:$F$992,"&lt;"&amp;$A43+1,检修计划!$G$2:$G$992,"&gt;"&amp;$A43,检修计划!$H$2:$H$992,1)</f>
        <v/>
      </c>
      <c r="D43" s="5">
        <f>COUNTIFS(检修计划!$E$2:$E$992,"3",检修计划!$F$2:$F$992,"&lt;"&amp;$A43+1,检修计划!$G$2:$G$992,"&gt;"&amp;$A43,检修计划!$H$2:$H$992,1)</f>
        <v/>
      </c>
      <c r="E43" s="5">
        <f>COUNTIFS(检修计划!$E$2:$E$992,"4",检修计划!$F$2:$F$992,"&lt;"&amp;$A43+1,检修计划!$G$2:$G$992,"&gt;"&amp;$A43,检修计划!$H$2:$H$992,1)</f>
        <v/>
      </c>
      <c r="F43" s="5">
        <f>COUNTIFS(检修计划!$E$2:$E$992,"5",检修计划!$F$2:$F$992,"&lt;"&amp;$A43+1,检修计划!$G$2:$G$992,"&gt;"&amp;$A43,检修计划!$H$2:$H$992,1)</f>
        <v/>
      </c>
    </row>
    <row r="44" ht="23" customHeight="1">
      <c r="A44" s="9" t="n">
        <v>44969</v>
      </c>
      <c r="B44" s="5">
        <f>COUNTIFS(检修计划!$E$2:$E$992,"1",检修计划!$F$2:$F$992,"&lt;"&amp;$A44+1,检修计划!$G$2:$G$992,"&gt;"&amp;$A44,检修计划!$H$2:$H$992,1)</f>
        <v/>
      </c>
      <c r="C44" s="5">
        <f>COUNTIFS(检修计划!$E$2:$E$992,"2",检修计划!$F$2:$F$992,"&lt;"&amp;$A44+1,检修计划!$G$2:$G$992,"&gt;"&amp;$A44,检修计划!$H$2:$H$992,1)</f>
        <v/>
      </c>
      <c r="D44" s="5">
        <f>COUNTIFS(检修计划!$E$2:$E$992,"3",检修计划!$F$2:$F$992,"&lt;"&amp;$A44+1,检修计划!$G$2:$G$992,"&gt;"&amp;$A44,检修计划!$H$2:$H$992,1)</f>
        <v/>
      </c>
      <c r="E44" s="5">
        <f>COUNTIFS(检修计划!$E$2:$E$992,"4",检修计划!$F$2:$F$992,"&lt;"&amp;$A44+1,检修计划!$G$2:$G$992,"&gt;"&amp;$A44,检修计划!$H$2:$H$992,1)</f>
        <v/>
      </c>
      <c r="F44" s="5">
        <f>COUNTIFS(检修计划!$E$2:$E$992,"5",检修计划!$F$2:$F$992,"&lt;"&amp;$A44+1,检修计划!$G$2:$G$992,"&gt;"&amp;$A44,检修计划!$H$2:$H$992,1)</f>
        <v/>
      </c>
    </row>
    <row r="45" ht="23" customHeight="1">
      <c r="A45" s="9" t="n">
        <v>44970</v>
      </c>
      <c r="B45" s="5">
        <f>COUNTIFS(检修计划!$E$2:$E$992,"1",检修计划!$F$2:$F$992,"&lt;"&amp;$A45+1,检修计划!$G$2:$G$992,"&gt;"&amp;$A45,检修计划!$H$2:$H$992,1)</f>
        <v/>
      </c>
      <c r="C45" s="5">
        <f>COUNTIFS(检修计划!$E$2:$E$992,"2",检修计划!$F$2:$F$992,"&lt;"&amp;$A45+1,检修计划!$G$2:$G$992,"&gt;"&amp;$A45,检修计划!$H$2:$H$992,1)</f>
        <v/>
      </c>
      <c r="D45" s="5">
        <f>COUNTIFS(检修计划!$E$2:$E$992,"3",检修计划!$F$2:$F$992,"&lt;"&amp;$A45+1,检修计划!$G$2:$G$992,"&gt;"&amp;$A45,检修计划!$H$2:$H$992,1)</f>
        <v/>
      </c>
      <c r="E45" s="5">
        <f>COUNTIFS(检修计划!$E$2:$E$992,"4",检修计划!$F$2:$F$992,"&lt;"&amp;$A45+1,检修计划!$G$2:$G$992,"&gt;"&amp;$A45,检修计划!$H$2:$H$992,1)</f>
        <v/>
      </c>
      <c r="F45" s="5">
        <f>COUNTIFS(检修计划!$E$2:$E$992,"5",检修计划!$F$2:$F$992,"&lt;"&amp;$A45+1,检修计划!$G$2:$G$992,"&gt;"&amp;$A45,检修计划!$H$2:$H$992,1)</f>
        <v/>
      </c>
    </row>
    <row r="46" ht="23" customHeight="1">
      <c r="A46" s="9" t="n">
        <v>44971</v>
      </c>
      <c r="B46" s="5">
        <f>COUNTIFS(检修计划!$E$2:$E$992,"1",检修计划!$F$2:$F$992,"&lt;"&amp;$A46+1,检修计划!$G$2:$G$992,"&gt;"&amp;$A46,检修计划!$H$2:$H$992,1)</f>
        <v/>
      </c>
      <c r="C46" s="5">
        <f>COUNTIFS(检修计划!$E$2:$E$992,"2",检修计划!$F$2:$F$992,"&lt;"&amp;$A46+1,检修计划!$G$2:$G$992,"&gt;"&amp;$A46,检修计划!$H$2:$H$992,1)</f>
        <v/>
      </c>
      <c r="D46" s="5">
        <f>COUNTIFS(检修计划!$E$2:$E$992,"3",检修计划!$F$2:$F$992,"&lt;"&amp;$A46+1,检修计划!$G$2:$G$992,"&gt;"&amp;$A46,检修计划!$H$2:$H$992,1)</f>
        <v/>
      </c>
      <c r="E46" s="5">
        <f>COUNTIFS(检修计划!$E$2:$E$992,"4",检修计划!$F$2:$F$992,"&lt;"&amp;$A46+1,检修计划!$G$2:$G$992,"&gt;"&amp;$A46,检修计划!$H$2:$H$992,1)</f>
        <v/>
      </c>
      <c r="F46" s="5">
        <f>COUNTIFS(检修计划!$E$2:$E$992,"5",检修计划!$F$2:$F$992,"&lt;"&amp;$A46+1,检修计划!$G$2:$G$992,"&gt;"&amp;$A46,检修计划!$H$2:$H$992,1)</f>
        <v/>
      </c>
    </row>
    <row r="47" ht="23" customHeight="1">
      <c r="A47" s="9" t="n">
        <v>44972</v>
      </c>
      <c r="B47" s="5">
        <f>COUNTIFS(检修计划!$E$2:$E$992,"1",检修计划!$F$2:$F$992,"&lt;"&amp;$A47+1,检修计划!$G$2:$G$992,"&gt;"&amp;$A47,检修计划!$H$2:$H$992,1)</f>
        <v/>
      </c>
      <c r="C47" s="5">
        <f>COUNTIFS(检修计划!$E$2:$E$992,"2",检修计划!$F$2:$F$992,"&lt;"&amp;$A47+1,检修计划!$G$2:$G$992,"&gt;"&amp;$A47,检修计划!$H$2:$H$992,1)</f>
        <v/>
      </c>
      <c r="D47" s="5">
        <f>COUNTIFS(检修计划!$E$2:$E$992,"3",检修计划!$F$2:$F$992,"&lt;"&amp;$A47+1,检修计划!$G$2:$G$992,"&gt;"&amp;$A47,检修计划!$H$2:$H$992,1)</f>
        <v/>
      </c>
      <c r="E47" s="5">
        <f>COUNTIFS(检修计划!$E$2:$E$992,"4",检修计划!$F$2:$F$992,"&lt;"&amp;$A47+1,检修计划!$G$2:$G$992,"&gt;"&amp;$A47,检修计划!$H$2:$H$992,1)</f>
        <v/>
      </c>
      <c r="F47" s="5">
        <f>COUNTIFS(检修计划!$E$2:$E$992,"5",检修计划!$F$2:$F$992,"&lt;"&amp;$A47+1,检修计划!$G$2:$G$992,"&gt;"&amp;$A47,检修计划!$H$2:$H$992,1)</f>
        <v/>
      </c>
    </row>
    <row r="48" ht="23" customHeight="1">
      <c r="A48" s="9" t="n">
        <v>44973</v>
      </c>
      <c r="B48" s="5">
        <f>COUNTIFS(检修计划!$E$2:$E$992,"1",检修计划!$F$2:$F$992,"&lt;"&amp;$A48+1,检修计划!$G$2:$G$992,"&gt;"&amp;$A48,检修计划!$H$2:$H$992,1)</f>
        <v/>
      </c>
      <c r="C48" s="5">
        <f>COUNTIFS(检修计划!$E$2:$E$992,"2",检修计划!$F$2:$F$992,"&lt;"&amp;$A48+1,检修计划!$G$2:$G$992,"&gt;"&amp;$A48,检修计划!$H$2:$H$992,1)</f>
        <v/>
      </c>
      <c r="D48" s="5">
        <f>COUNTIFS(检修计划!$E$2:$E$992,"3",检修计划!$F$2:$F$992,"&lt;"&amp;$A48+1,检修计划!$G$2:$G$992,"&gt;"&amp;$A48,检修计划!$H$2:$H$992,1)</f>
        <v/>
      </c>
      <c r="E48" s="5">
        <f>COUNTIFS(检修计划!$E$2:$E$992,"4",检修计划!$F$2:$F$992,"&lt;"&amp;$A48+1,检修计划!$G$2:$G$992,"&gt;"&amp;$A48,检修计划!$H$2:$H$992,1)</f>
        <v/>
      </c>
      <c r="F48" s="5">
        <f>COUNTIFS(检修计划!$E$2:$E$992,"5",检修计划!$F$2:$F$992,"&lt;"&amp;$A48+1,检修计划!$G$2:$G$992,"&gt;"&amp;$A48,检修计划!$H$2:$H$992,1)</f>
        <v/>
      </c>
    </row>
    <row r="49" ht="23" customHeight="1">
      <c r="A49" s="9" t="n">
        <v>44974</v>
      </c>
      <c r="B49" s="5">
        <f>COUNTIFS(检修计划!$E$2:$E$992,"1",检修计划!$F$2:$F$992,"&lt;"&amp;$A49+1,检修计划!$G$2:$G$992,"&gt;"&amp;$A49,检修计划!$H$2:$H$992,1)</f>
        <v/>
      </c>
      <c r="C49" s="5">
        <f>COUNTIFS(检修计划!$E$2:$E$992,"2",检修计划!$F$2:$F$992,"&lt;"&amp;$A49+1,检修计划!$G$2:$G$992,"&gt;"&amp;$A49,检修计划!$H$2:$H$992,1)</f>
        <v/>
      </c>
      <c r="D49" s="5">
        <f>COUNTIFS(检修计划!$E$2:$E$992,"3",检修计划!$F$2:$F$992,"&lt;"&amp;$A49+1,检修计划!$G$2:$G$992,"&gt;"&amp;$A49,检修计划!$H$2:$H$992,1)</f>
        <v/>
      </c>
      <c r="E49" s="5">
        <f>COUNTIFS(检修计划!$E$2:$E$992,"4",检修计划!$F$2:$F$992,"&lt;"&amp;$A49+1,检修计划!$G$2:$G$992,"&gt;"&amp;$A49,检修计划!$H$2:$H$992,1)</f>
        <v/>
      </c>
      <c r="F49" s="5">
        <f>COUNTIFS(检修计划!$E$2:$E$992,"5",检修计划!$F$2:$F$992,"&lt;"&amp;$A49+1,检修计划!$G$2:$G$992,"&gt;"&amp;$A49,检修计划!$H$2:$H$992,1)</f>
        <v/>
      </c>
    </row>
    <row r="50" ht="23" customHeight="1">
      <c r="A50" s="9" t="n">
        <v>44975</v>
      </c>
      <c r="B50" s="5">
        <f>COUNTIFS(检修计划!$E$2:$E$992,"1",检修计划!$F$2:$F$992,"&lt;"&amp;$A50+1,检修计划!$G$2:$G$992,"&gt;"&amp;$A50,检修计划!$H$2:$H$992,1)</f>
        <v/>
      </c>
      <c r="C50" s="5">
        <f>COUNTIFS(检修计划!$E$2:$E$992,"2",检修计划!$F$2:$F$992,"&lt;"&amp;$A50+1,检修计划!$G$2:$G$992,"&gt;"&amp;$A50,检修计划!$H$2:$H$992,1)</f>
        <v/>
      </c>
      <c r="D50" s="5">
        <f>COUNTIFS(检修计划!$E$2:$E$992,"3",检修计划!$F$2:$F$992,"&lt;"&amp;$A50+1,检修计划!$G$2:$G$992,"&gt;"&amp;$A50,检修计划!$H$2:$H$992,1)</f>
        <v/>
      </c>
      <c r="E50" s="5">
        <f>COUNTIFS(检修计划!$E$2:$E$992,"4",检修计划!$F$2:$F$992,"&lt;"&amp;$A50+1,检修计划!$G$2:$G$992,"&gt;"&amp;$A50,检修计划!$H$2:$H$992,1)</f>
        <v/>
      </c>
      <c r="F50" s="5">
        <f>COUNTIFS(检修计划!$E$2:$E$992,"5",检修计划!$F$2:$F$992,"&lt;"&amp;$A50+1,检修计划!$G$2:$G$992,"&gt;"&amp;$A50,检修计划!$H$2:$H$992,1)</f>
        <v/>
      </c>
    </row>
    <row r="51" ht="23" customHeight="1">
      <c r="A51" s="9" t="n">
        <v>44976</v>
      </c>
      <c r="B51" s="5">
        <f>COUNTIFS(检修计划!$E$2:$E$992,"1",检修计划!$F$2:$F$992,"&lt;"&amp;$A51+1,检修计划!$G$2:$G$992,"&gt;"&amp;$A51,检修计划!$H$2:$H$992,1)</f>
        <v/>
      </c>
      <c r="C51" s="5">
        <f>COUNTIFS(检修计划!$E$2:$E$992,"2",检修计划!$F$2:$F$992,"&lt;"&amp;$A51+1,检修计划!$G$2:$G$992,"&gt;"&amp;$A51,检修计划!$H$2:$H$992,1)</f>
        <v/>
      </c>
      <c r="D51" s="5">
        <f>COUNTIFS(检修计划!$E$2:$E$992,"3",检修计划!$F$2:$F$992,"&lt;"&amp;$A51+1,检修计划!$G$2:$G$992,"&gt;"&amp;$A51,检修计划!$H$2:$H$992,1)</f>
        <v/>
      </c>
      <c r="E51" s="5">
        <f>COUNTIFS(检修计划!$E$2:$E$992,"4",检修计划!$F$2:$F$992,"&lt;"&amp;$A51+1,检修计划!$G$2:$G$992,"&gt;"&amp;$A51,检修计划!$H$2:$H$992,1)</f>
        <v/>
      </c>
      <c r="F51" s="5">
        <f>COUNTIFS(检修计划!$E$2:$E$992,"5",检修计划!$F$2:$F$992,"&lt;"&amp;$A51+1,检修计划!$G$2:$G$992,"&gt;"&amp;$A51,检修计划!$H$2:$H$992,1)</f>
        <v/>
      </c>
    </row>
    <row r="52" ht="23" customHeight="1">
      <c r="A52" s="9" t="n">
        <v>44977</v>
      </c>
      <c r="B52" s="5">
        <f>COUNTIFS(检修计划!$E$2:$E$992,"1",检修计划!$F$2:$F$992,"&lt;"&amp;$A52+1,检修计划!$G$2:$G$992,"&gt;"&amp;$A52,检修计划!$H$2:$H$992,1)</f>
        <v/>
      </c>
      <c r="C52" s="5">
        <f>COUNTIFS(检修计划!$E$2:$E$992,"2",检修计划!$F$2:$F$992,"&lt;"&amp;$A52+1,检修计划!$G$2:$G$992,"&gt;"&amp;$A52,检修计划!$H$2:$H$992,1)</f>
        <v/>
      </c>
      <c r="D52" s="5">
        <f>COUNTIFS(检修计划!$E$2:$E$992,"3",检修计划!$F$2:$F$992,"&lt;"&amp;$A52+1,检修计划!$G$2:$G$992,"&gt;"&amp;$A52,检修计划!$H$2:$H$992,1)</f>
        <v/>
      </c>
      <c r="E52" s="5">
        <f>COUNTIFS(检修计划!$E$2:$E$992,"4",检修计划!$F$2:$F$992,"&lt;"&amp;$A52+1,检修计划!$G$2:$G$992,"&gt;"&amp;$A52,检修计划!$H$2:$H$992,1)</f>
        <v/>
      </c>
      <c r="F52" s="5">
        <f>COUNTIFS(检修计划!$E$2:$E$992,"5",检修计划!$F$2:$F$992,"&lt;"&amp;$A52+1,检修计划!$G$2:$G$992,"&gt;"&amp;$A52,检修计划!$H$2:$H$992,1)</f>
        <v/>
      </c>
    </row>
    <row r="53" ht="23" customHeight="1">
      <c r="A53" s="9" t="n">
        <v>44978</v>
      </c>
      <c r="B53" s="5">
        <f>COUNTIFS(检修计划!$E$2:$E$992,"1",检修计划!$F$2:$F$992,"&lt;"&amp;$A53+1,检修计划!$G$2:$G$992,"&gt;"&amp;$A53,检修计划!$H$2:$H$992,1)</f>
        <v/>
      </c>
      <c r="C53" s="5">
        <f>COUNTIFS(检修计划!$E$2:$E$992,"2",检修计划!$F$2:$F$992,"&lt;"&amp;$A53+1,检修计划!$G$2:$G$992,"&gt;"&amp;$A53,检修计划!$H$2:$H$992,1)</f>
        <v/>
      </c>
      <c r="D53" s="5">
        <f>COUNTIFS(检修计划!$E$2:$E$992,"3",检修计划!$F$2:$F$992,"&lt;"&amp;$A53+1,检修计划!$G$2:$G$992,"&gt;"&amp;$A53,检修计划!$H$2:$H$992,1)</f>
        <v/>
      </c>
      <c r="E53" s="5">
        <f>COUNTIFS(检修计划!$E$2:$E$992,"4",检修计划!$F$2:$F$992,"&lt;"&amp;$A53+1,检修计划!$G$2:$G$992,"&gt;"&amp;$A53,检修计划!$H$2:$H$992,1)</f>
        <v/>
      </c>
      <c r="F53" s="5">
        <f>COUNTIFS(检修计划!$E$2:$E$992,"5",检修计划!$F$2:$F$992,"&lt;"&amp;$A53+1,检修计划!$G$2:$G$992,"&gt;"&amp;$A53,检修计划!$H$2:$H$992,1)</f>
        <v/>
      </c>
    </row>
    <row r="54" ht="23" customHeight="1">
      <c r="A54" s="9" t="n">
        <v>44979</v>
      </c>
      <c r="B54" s="5">
        <f>COUNTIFS(检修计划!$E$2:$E$992,"1",检修计划!$F$2:$F$992,"&lt;"&amp;$A54+1,检修计划!$G$2:$G$992,"&gt;"&amp;$A54,检修计划!$H$2:$H$992,1)</f>
        <v/>
      </c>
      <c r="C54" s="5">
        <f>COUNTIFS(检修计划!$E$2:$E$992,"2",检修计划!$F$2:$F$992,"&lt;"&amp;$A54+1,检修计划!$G$2:$G$992,"&gt;"&amp;$A54,检修计划!$H$2:$H$992,1)</f>
        <v/>
      </c>
      <c r="D54" s="5">
        <f>COUNTIFS(检修计划!$E$2:$E$992,"3",检修计划!$F$2:$F$992,"&lt;"&amp;$A54+1,检修计划!$G$2:$G$992,"&gt;"&amp;$A54,检修计划!$H$2:$H$992,1)</f>
        <v/>
      </c>
      <c r="E54" s="5">
        <f>COUNTIFS(检修计划!$E$2:$E$992,"4",检修计划!$F$2:$F$992,"&lt;"&amp;$A54+1,检修计划!$G$2:$G$992,"&gt;"&amp;$A54,检修计划!$H$2:$H$992,1)</f>
        <v/>
      </c>
      <c r="F54" s="5">
        <f>COUNTIFS(检修计划!$E$2:$E$992,"5",检修计划!$F$2:$F$992,"&lt;"&amp;$A54+1,检修计划!$G$2:$G$992,"&gt;"&amp;$A54,检修计划!$H$2:$H$992,1)</f>
        <v/>
      </c>
    </row>
    <row r="55" ht="23" customHeight="1">
      <c r="A55" s="9" t="n">
        <v>44980</v>
      </c>
      <c r="B55" s="5">
        <f>COUNTIFS(检修计划!$E$2:$E$992,"1",检修计划!$F$2:$F$992,"&lt;"&amp;$A55+1,检修计划!$G$2:$G$992,"&gt;"&amp;$A55,检修计划!$H$2:$H$992,1)</f>
        <v/>
      </c>
      <c r="C55" s="5">
        <f>COUNTIFS(检修计划!$E$2:$E$992,"2",检修计划!$F$2:$F$992,"&lt;"&amp;$A55+1,检修计划!$G$2:$G$992,"&gt;"&amp;$A55,检修计划!$H$2:$H$992,1)</f>
        <v/>
      </c>
      <c r="D55" s="5">
        <f>COUNTIFS(检修计划!$E$2:$E$992,"3",检修计划!$F$2:$F$992,"&lt;"&amp;$A55+1,检修计划!$G$2:$G$992,"&gt;"&amp;$A55,检修计划!$H$2:$H$992,1)</f>
        <v/>
      </c>
      <c r="E55" s="5">
        <f>COUNTIFS(检修计划!$E$2:$E$992,"4",检修计划!$F$2:$F$992,"&lt;"&amp;$A55+1,检修计划!$G$2:$G$992,"&gt;"&amp;$A55,检修计划!$H$2:$H$992,1)</f>
        <v/>
      </c>
      <c r="F55" s="5">
        <f>COUNTIFS(检修计划!$E$2:$E$992,"5",检修计划!$F$2:$F$992,"&lt;"&amp;$A55+1,检修计划!$G$2:$G$992,"&gt;"&amp;$A55,检修计划!$H$2:$H$992,1)</f>
        <v/>
      </c>
    </row>
    <row r="56" ht="23" customHeight="1">
      <c r="A56" s="9" t="n">
        <v>44981</v>
      </c>
      <c r="B56" s="5">
        <f>COUNTIFS(检修计划!$E$2:$E$992,"1",检修计划!$F$2:$F$992,"&lt;"&amp;$A56+1,检修计划!$G$2:$G$992,"&gt;"&amp;$A56,检修计划!$H$2:$H$992,1)</f>
        <v/>
      </c>
      <c r="C56" s="5">
        <f>COUNTIFS(检修计划!$E$2:$E$992,"2",检修计划!$F$2:$F$992,"&lt;"&amp;$A56+1,检修计划!$G$2:$G$992,"&gt;"&amp;$A56,检修计划!$H$2:$H$992,1)</f>
        <v/>
      </c>
      <c r="D56" s="5">
        <f>COUNTIFS(检修计划!$E$2:$E$992,"3",检修计划!$F$2:$F$992,"&lt;"&amp;$A56+1,检修计划!$G$2:$G$992,"&gt;"&amp;$A56,检修计划!$H$2:$H$992,1)</f>
        <v/>
      </c>
      <c r="E56" s="5">
        <f>COUNTIFS(检修计划!$E$2:$E$992,"4",检修计划!$F$2:$F$992,"&lt;"&amp;$A56+1,检修计划!$G$2:$G$992,"&gt;"&amp;$A56,检修计划!$H$2:$H$992,1)</f>
        <v/>
      </c>
      <c r="F56" s="5">
        <f>COUNTIFS(检修计划!$E$2:$E$992,"5",检修计划!$F$2:$F$992,"&lt;"&amp;$A56+1,检修计划!$G$2:$G$992,"&gt;"&amp;$A56,检修计划!$H$2:$H$992,1)</f>
        <v/>
      </c>
    </row>
    <row r="57" ht="23" customHeight="1">
      <c r="A57" s="9" t="n">
        <v>44982</v>
      </c>
      <c r="B57" s="5">
        <f>COUNTIFS(检修计划!$E$2:$E$992,"1",检修计划!$F$2:$F$992,"&lt;"&amp;$A57+1,检修计划!$G$2:$G$992,"&gt;"&amp;$A57,检修计划!$H$2:$H$992,1)</f>
        <v/>
      </c>
      <c r="C57" s="5">
        <f>COUNTIFS(检修计划!$E$2:$E$992,"2",检修计划!$F$2:$F$992,"&lt;"&amp;$A57+1,检修计划!$G$2:$G$992,"&gt;"&amp;$A57,检修计划!$H$2:$H$992,1)</f>
        <v/>
      </c>
      <c r="D57" s="5">
        <f>COUNTIFS(检修计划!$E$2:$E$992,"3",检修计划!$F$2:$F$992,"&lt;"&amp;$A57+1,检修计划!$G$2:$G$992,"&gt;"&amp;$A57,检修计划!$H$2:$H$992,1)</f>
        <v/>
      </c>
      <c r="E57" s="5">
        <f>COUNTIFS(检修计划!$E$2:$E$992,"4",检修计划!$F$2:$F$992,"&lt;"&amp;$A57+1,检修计划!$G$2:$G$992,"&gt;"&amp;$A57,检修计划!$H$2:$H$992,1)</f>
        <v/>
      </c>
      <c r="F57" s="5">
        <f>COUNTIFS(检修计划!$E$2:$E$992,"5",检修计划!$F$2:$F$992,"&lt;"&amp;$A57+1,检修计划!$G$2:$G$992,"&gt;"&amp;$A57,检修计划!$H$2:$H$992,1)</f>
        <v/>
      </c>
    </row>
    <row r="58" ht="23" customHeight="1">
      <c r="A58" s="9" t="n">
        <v>44983</v>
      </c>
      <c r="B58" s="5">
        <f>COUNTIFS(检修计划!$E$2:$E$992,"1",检修计划!$F$2:$F$992,"&lt;"&amp;$A58+1,检修计划!$G$2:$G$992,"&gt;"&amp;$A58,检修计划!$H$2:$H$992,1)</f>
        <v/>
      </c>
      <c r="C58" s="5">
        <f>COUNTIFS(检修计划!$E$2:$E$992,"2",检修计划!$F$2:$F$992,"&lt;"&amp;$A58+1,检修计划!$G$2:$G$992,"&gt;"&amp;$A58,检修计划!$H$2:$H$992,1)</f>
        <v/>
      </c>
      <c r="D58" s="5">
        <f>COUNTIFS(检修计划!$E$2:$E$992,"3",检修计划!$F$2:$F$992,"&lt;"&amp;$A58+1,检修计划!$G$2:$G$992,"&gt;"&amp;$A58,检修计划!$H$2:$H$992,1)</f>
        <v/>
      </c>
      <c r="E58" s="5">
        <f>COUNTIFS(检修计划!$E$2:$E$992,"4",检修计划!$F$2:$F$992,"&lt;"&amp;$A58+1,检修计划!$G$2:$G$992,"&gt;"&amp;$A58,检修计划!$H$2:$H$992,1)</f>
        <v/>
      </c>
      <c r="F58" s="5">
        <f>COUNTIFS(检修计划!$E$2:$E$992,"5",检修计划!$F$2:$F$992,"&lt;"&amp;$A58+1,检修计划!$G$2:$G$992,"&gt;"&amp;$A58,检修计划!$H$2:$H$992,1)</f>
        <v/>
      </c>
    </row>
    <row r="59" ht="23" customHeight="1">
      <c r="A59" s="9" t="n">
        <v>44984</v>
      </c>
      <c r="B59" s="5">
        <f>COUNTIFS(检修计划!$E$2:$E$992,"1",检修计划!$F$2:$F$992,"&lt;"&amp;$A59+1,检修计划!$G$2:$G$992,"&gt;"&amp;$A59,检修计划!$H$2:$H$992,1)</f>
        <v/>
      </c>
      <c r="C59" s="5">
        <f>COUNTIFS(检修计划!$E$2:$E$992,"2",检修计划!$F$2:$F$992,"&lt;"&amp;$A59+1,检修计划!$G$2:$G$992,"&gt;"&amp;$A59,检修计划!$H$2:$H$992,1)</f>
        <v/>
      </c>
      <c r="D59" s="5">
        <f>COUNTIFS(检修计划!$E$2:$E$992,"3",检修计划!$F$2:$F$992,"&lt;"&amp;$A59+1,检修计划!$G$2:$G$992,"&gt;"&amp;$A59,检修计划!$H$2:$H$992,1)</f>
        <v/>
      </c>
      <c r="E59" s="5">
        <f>COUNTIFS(检修计划!$E$2:$E$992,"4",检修计划!$F$2:$F$992,"&lt;"&amp;$A59+1,检修计划!$G$2:$G$992,"&gt;"&amp;$A59,检修计划!$H$2:$H$992,1)</f>
        <v/>
      </c>
      <c r="F59" s="5">
        <f>COUNTIFS(检修计划!$E$2:$E$992,"5",检修计划!$F$2:$F$992,"&lt;"&amp;$A59+1,检修计划!$G$2:$G$992,"&gt;"&amp;$A59,检修计划!$H$2:$H$992,1)</f>
        <v/>
      </c>
    </row>
    <row r="60" ht="23" customHeight="1">
      <c r="A60" s="9" t="n">
        <v>44985</v>
      </c>
      <c r="B60" s="5">
        <f>COUNTIFS(检修计划!$E$2:$E$992,"1",检修计划!$F$2:$F$992,"&lt;"&amp;$A60+1,检修计划!$G$2:$G$992,"&gt;"&amp;$A60,检修计划!$H$2:$H$992,1)</f>
        <v/>
      </c>
      <c r="C60" s="5">
        <f>COUNTIFS(检修计划!$E$2:$E$992,"2",检修计划!$F$2:$F$992,"&lt;"&amp;$A60+1,检修计划!$G$2:$G$992,"&gt;"&amp;$A60,检修计划!$H$2:$H$992,1)</f>
        <v/>
      </c>
      <c r="D60" s="5">
        <f>COUNTIFS(检修计划!$E$2:$E$992,"3",检修计划!$F$2:$F$992,"&lt;"&amp;$A60+1,检修计划!$G$2:$G$992,"&gt;"&amp;$A60,检修计划!$H$2:$H$992,1)</f>
        <v/>
      </c>
      <c r="E60" s="5">
        <f>COUNTIFS(检修计划!$E$2:$E$992,"4",检修计划!$F$2:$F$992,"&lt;"&amp;$A60+1,检修计划!$G$2:$G$992,"&gt;"&amp;$A60,检修计划!$H$2:$H$992,1)</f>
        <v/>
      </c>
      <c r="F60" s="5">
        <f>COUNTIFS(检修计划!$E$2:$E$992,"5",检修计划!$F$2:$F$992,"&lt;"&amp;$A60+1,检修计划!$G$2:$G$992,"&gt;"&amp;$A60,检修计划!$H$2:$H$992,1)</f>
        <v/>
      </c>
    </row>
    <row r="61" ht="23" customHeight="1">
      <c r="A61" s="9" t="n">
        <v>44986</v>
      </c>
      <c r="B61" s="5">
        <f>COUNTIFS(检修计划!$E$2:$E$992,"1",检修计划!$F$2:$F$992,"&lt;"&amp;$A61+1,检修计划!$G$2:$G$992,"&gt;"&amp;$A61,检修计划!$H$2:$H$992,1)</f>
        <v/>
      </c>
      <c r="C61" s="5">
        <f>COUNTIFS(检修计划!$E$2:$E$992,"2",检修计划!$F$2:$F$992,"&lt;"&amp;$A61+1,检修计划!$G$2:$G$992,"&gt;"&amp;$A61,检修计划!$H$2:$H$992,1)</f>
        <v/>
      </c>
      <c r="D61" s="5">
        <f>COUNTIFS(检修计划!$E$2:$E$992,"3",检修计划!$F$2:$F$992,"&lt;"&amp;$A61+1,检修计划!$G$2:$G$992,"&gt;"&amp;$A61,检修计划!$H$2:$H$992,1)</f>
        <v/>
      </c>
      <c r="E61" s="5">
        <f>COUNTIFS(检修计划!$E$2:$E$992,"4",检修计划!$F$2:$F$992,"&lt;"&amp;$A61+1,检修计划!$G$2:$G$992,"&gt;"&amp;$A61,检修计划!$H$2:$H$992,1)</f>
        <v/>
      </c>
      <c r="F61" s="5">
        <f>COUNTIFS(检修计划!$E$2:$E$992,"5",检修计划!$F$2:$F$992,"&lt;"&amp;$A61+1,检修计划!$G$2:$G$992,"&gt;"&amp;$A61,检修计划!$H$2:$H$992,1)</f>
        <v/>
      </c>
    </row>
    <row r="62" ht="23" customHeight="1">
      <c r="A62" s="9" t="n">
        <v>44987</v>
      </c>
      <c r="B62" s="5">
        <f>COUNTIFS(检修计划!$E$2:$E$992,"1",检修计划!$F$2:$F$992,"&lt;"&amp;$A62+1,检修计划!$G$2:$G$992,"&gt;"&amp;$A62,检修计划!$H$2:$H$992,1)</f>
        <v/>
      </c>
      <c r="C62" s="5">
        <f>COUNTIFS(检修计划!$E$2:$E$992,"2",检修计划!$F$2:$F$992,"&lt;"&amp;$A62+1,检修计划!$G$2:$G$992,"&gt;"&amp;$A62,检修计划!$H$2:$H$992,1)</f>
        <v/>
      </c>
      <c r="D62" s="5">
        <f>COUNTIFS(检修计划!$E$2:$E$992,"3",检修计划!$F$2:$F$992,"&lt;"&amp;$A62+1,检修计划!$G$2:$G$992,"&gt;"&amp;$A62,检修计划!$H$2:$H$992,1)</f>
        <v/>
      </c>
      <c r="E62" s="5">
        <f>COUNTIFS(检修计划!$E$2:$E$992,"4",检修计划!$F$2:$F$992,"&lt;"&amp;$A62+1,检修计划!$G$2:$G$992,"&gt;"&amp;$A62,检修计划!$H$2:$H$992,1)</f>
        <v/>
      </c>
      <c r="F62" s="5">
        <f>COUNTIFS(检修计划!$E$2:$E$992,"5",检修计划!$F$2:$F$992,"&lt;"&amp;$A62+1,检修计划!$G$2:$G$992,"&gt;"&amp;$A62,检修计划!$H$2:$H$992,1)</f>
        <v/>
      </c>
    </row>
    <row r="63" ht="23" customHeight="1">
      <c r="A63" s="9" t="n">
        <v>44988</v>
      </c>
      <c r="B63" s="5">
        <f>COUNTIFS(检修计划!$E$2:$E$992,"1",检修计划!$F$2:$F$992,"&lt;"&amp;$A63+1,检修计划!$G$2:$G$992,"&gt;"&amp;$A63,检修计划!$H$2:$H$992,1)</f>
        <v/>
      </c>
      <c r="C63" s="5">
        <f>COUNTIFS(检修计划!$E$2:$E$992,"2",检修计划!$F$2:$F$992,"&lt;"&amp;$A63+1,检修计划!$G$2:$G$992,"&gt;"&amp;$A63,检修计划!$H$2:$H$992,1)</f>
        <v/>
      </c>
      <c r="D63" s="5">
        <f>COUNTIFS(检修计划!$E$2:$E$992,"3",检修计划!$F$2:$F$992,"&lt;"&amp;$A63+1,检修计划!$G$2:$G$992,"&gt;"&amp;$A63,检修计划!$H$2:$H$992,1)</f>
        <v/>
      </c>
      <c r="E63" s="5">
        <f>COUNTIFS(检修计划!$E$2:$E$992,"4",检修计划!$F$2:$F$992,"&lt;"&amp;$A63+1,检修计划!$G$2:$G$992,"&gt;"&amp;$A63,检修计划!$H$2:$H$992,1)</f>
        <v/>
      </c>
      <c r="F63" s="5">
        <f>COUNTIFS(检修计划!$E$2:$E$992,"5",检修计划!$F$2:$F$992,"&lt;"&amp;$A63+1,检修计划!$G$2:$G$992,"&gt;"&amp;$A63,检修计划!$H$2:$H$992,1)</f>
        <v/>
      </c>
    </row>
    <row r="64" ht="23" customHeight="1">
      <c r="A64" s="9" t="n">
        <v>44989</v>
      </c>
      <c r="B64" s="5">
        <f>COUNTIFS(检修计划!$E$2:$E$992,"1",检修计划!$F$2:$F$992,"&lt;"&amp;$A64+1,检修计划!$G$2:$G$992,"&gt;"&amp;$A64,检修计划!$H$2:$H$992,1)</f>
        <v/>
      </c>
      <c r="C64" s="5">
        <f>COUNTIFS(检修计划!$E$2:$E$992,"2",检修计划!$F$2:$F$992,"&lt;"&amp;$A64+1,检修计划!$G$2:$G$992,"&gt;"&amp;$A64,检修计划!$H$2:$H$992,1)</f>
        <v/>
      </c>
      <c r="D64" s="5">
        <f>COUNTIFS(检修计划!$E$2:$E$992,"3",检修计划!$F$2:$F$992,"&lt;"&amp;$A64+1,检修计划!$G$2:$G$992,"&gt;"&amp;$A64,检修计划!$H$2:$H$992,1)</f>
        <v/>
      </c>
      <c r="E64" s="5">
        <f>COUNTIFS(检修计划!$E$2:$E$992,"4",检修计划!$F$2:$F$992,"&lt;"&amp;$A64+1,检修计划!$G$2:$G$992,"&gt;"&amp;$A64,检修计划!$H$2:$H$992,1)</f>
        <v/>
      </c>
      <c r="F64" s="5">
        <f>COUNTIFS(检修计划!$E$2:$E$992,"5",检修计划!$F$2:$F$992,"&lt;"&amp;$A64+1,检修计划!$G$2:$G$992,"&gt;"&amp;$A64,检修计划!$H$2:$H$992,1)</f>
        <v/>
      </c>
    </row>
    <row r="65" ht="23" customHeight="1">
      <c r="A65" s="9" t="n">
        <v>44990</v>
      </c>
      <c r="B65" s="5">
        <f>COUNTIFS(检修计划!$E$2:$E$992,"1",检修计划!$F$2:$F$992,"&lt;"&amp;$A65+1,检修计划!$G$2:$G$992,"&gt;"&amp;$A65,检修计划!$H$2:$H$992,1)</f>
        <v/>
      </c>
      <c r="C65" s="5">
        <f>COUNTIFS(检修计划!$E$2:$E$992,"2",检修计划!$F$2:$F$992,"&lt;"&amp;$A65+1,检修计划!$G$2:$G$992,"&gt;"&amp;$A65,检修计划!$H$2:$H$992,1)</f>
        <v/>
      </c>
      <c r="D65" s="5">
        <f>COUNTIFS(检修计划!$E$2:$E$992,"3",检修计划!$F$2:$F$992,"&lt;"&amp;$A65+1,检修计划!$G$2:$G$992,"&gt;"&amp;$A65,检修计划!$H$2:$H$992,1)</f>
        <v/>
      </c>
      <c r="E65" s="5">
        <f>COUNTIFS(检修计划!$E$2:$E$992,"4",检修计划!$F$2:$F$992,"&lt;"&amp;$A65+1,检修计划!$G$2:$G$992,"&gt;"&amp;$A65,检修计划!$H$2:$H$992,1)</f>
        <v/>
      </c>
      <c r="F65" s="5">
        <f>COUNTIFS(检修计划!$E$2:$E$992,"5",检修计划!$F$2:$F$992,"&lt;"&amp;$A65+1,检修计划!$G$2:$G$992,"&gt;"&amp;$A65,检修计划!$H$2:$H$992,1)</f>
        <v/>
      </c>
    </row>
    <row r="66" ht="23" customHeight="1">
      <c r="A66" s="9" t="n">
        <v>44991</v>
      </c>
      <c r="B66" s="5">
        <f>COUNTIFS(检修计划!$E$2:$E$992,"1",检修计划!$F$2:$F$992,"&lt;"&amp;$A66+1,检修计划!$G$2:$G$992,"&gt;"&amp;$A66,检修计划!$H$2:$H$992,1)</f>
        <v/>
      </c>
      <c r="C66" s="5">
        <f>COUNTIFS(检修计划!$E$2:$E$992,"2",检修计划!$F$2:$F$992,"&lt;"&amp;$A66+1,检修计划!$G$2:$G$992,"&gt;"&amp;$A66,检修计划!$H$2:$H$992,1)</f>
        <v/>
      </c>
      <c r="D66" s="5">
        <f>COUNTIFS(检修计划!$E$2:$E$992,"3",检修计划!$F$2:$F$992,"&lt;"&amp;$A66+1,检修计划!$G$2:$G$992,"&gt;"&amp;$A66,检修计划!$H$2:$H$992,1)</f>
        <v/>
      </c>
      <c r="E66" s="5">
        <f>COUNTIFS(检修计划!$E$2:$E$992,"4",检修计划!$F$2:$F$992,"&lt;"&amp;$A66+1,检修计划!$G$2:$G$992,"&gt;"&amp;$A66,检修计划!$H$2:$H$992,1)</f>
        <v/>
      </c>
      <c r="F66" s="5">
        <f>COUNTIFS(检修计划!$E$2:$E$992,"5",检修计划!$F$2:$F$992,"&lt;"&amp;$A66+1,检修计划!$G$2:$G$992,"&gt;"&amp;$A66,检修计划!$H$2:$H$992,1)</f>
        <v/>
      </c>
    </row>
    <row r="67" ht="23" customHeight="1">
      <c r="A67" s="9" t="n">
        <v>44992</v>
      </c>
      <c r="B67" s="5">
        <f>COUNTIFS(检修计划!$E$2:$E$992,"1",检修计划!$F$2:$F$992,"&lt;"&amp;$A67+1,检修计划!$G$2:$G$992,"&gt;"&amp;$A67,检修计划!$H$2:$H$992,1)</f>
        <v/>
      </c>
      <c r="C67" s="5">
        <f>COUNTIFS(检修计划!$E$2:$E$992,"2",检修计划!$F$2:$F$992,"&lt;"&amp;$A67+1,检修计划!$G$2:$G$992,"&gt;"&amp;$A67,检修计划!$H$2:$H$992,1)</f>
        <v/>
      </c>
      <c r="D67" s="5">
        <f>COUNTIFS(检修计划!$E$2:$E$992,"3",检修计划!$F$2:$F$992,"&lt;"&amp;$A67+1,检修计划!$G$2:$G$992,"&gt;"&amp;$A67,检修计划!$H$2:$H$992,1)</f>
        <v/>
      </c>
      <c r="E67" s="5">
        <f>COUNTIFS(检修计划!$E$2:$E$992,"4",检修计划!$F$2:$F$992,"&lt;"&amp;$A67+1,检修计划!$G$2:$G$992,"&gt;"&amp;$A67,检修计划!$H$2:$H$992,1)</f>
        <v/>
      </c>
      <c r="F67" s="5">
        <f>COUNTIFS(检修计划!$E$2:$E$992,"5",检修计划!$F$2:$F$992,"&lt;"&amp;$A67+1,检修计划!$G$2:$G$992,"&gt;"&amp;$A67,检修计划!$H$2:$H$992,1)</f>
        <v/>
      </c>
    </row>
    <row r="68" ht="23" customHeight="1">
      <c r="A68" s="9" t="n">
        <v>44993</v>
      </c>
      <c r="B68" s="5">
        <f>COUNTIFS(检修计划!$E$2:$E$992,"1",检修计划!$F$2:$F$992,"&lt;"&amp;$A68+1,检修计划!$G$2:$G$992,"&gt;"&amp;$A68,检修计划!$H$2:$H$992,1)</f>
        <v/>
      </c>
      <c r="C68" s="5">
        <f>COUNTIFS(检修计划!$E$2:$E$992,"2",检修计划!$F$2:$F$992,"&lt;"&amp;$A68+1,检修计划!$G$2:$G$992,"&gt;"&amp;$A68,检修计划!$H$2:$H$992,1)</f>
        <v/>
      </c>
      <c r="D68" s="5">
        <f>COUNTIFS(检修计划!$E$2:$E$992,"3",检修计划!$F$2:$F$992,"&lt;"&amp;$A68+1,检修计划!$G$2:$G$992,"&gt;"&amp;$A68,检修计划!$H$2:$H$992,1)</f>
        <v/>
      </c>
      <c r="E68" s="5">
        <f>COUNTIFS(检修计划!$E$2:$E$992,"4",检修计划!$F$2:$F$992,"&lt;"&amp;$A68+1,检修计划!$G$2:$G$992,"&gt;"&amp;$A68,检修计划!$H$2:$H$992,1)</f>
        <v/>
      </c>
      <c r="F68" s="5">
        <f>COUNTIFS(检修计划!$E$2:$E$992,"5",检修计划!$F$2:$F$992,"&lt;"&amp;$A68+1,检修计划!$G$2:$G$992,"&gt;"&amp;$A68,检修计划!$H$2:$H$992,1)</f>
        <v/>
      </c>
    </row>
    <row r="69" ht="23" customHeight="1">
      <c r="A69" s="9" t="n">
        <v>44994</v>
      </c>
      <c r="B69" s="5">
        <f>COUNTIFS(检修计划!$E$2:$E$992,"1",检修计划!$F$2:$F$992,"&lt;"&amp;$A69+1,检修计划!$G$2:$G$992,"&gt;"&amp;$A69,检修计划!$H$2:$H$992,1)</f>
        <v/>
      </c>
      <c r="C69" s="5">
        <f>COUNTIFS(检修计划!$E$2:$E$992,"2",检修计划!$F$2:$F$992,"&lt;"&amp;$A69+1,检修计划!$G$2:$G$992,"&gt;"&amp;$A69,检修计划!$H$2:$H$992,1)</f>
        <v/>
      </c>
      <c r="D69" s="5">
        <f>COUNTIFS(检修计划!$E$2:$E$992,"3",检修计划!$F$2:$F$992,"&lt;"&amp;$A69+1,检修计划!$G$2:$G$992,"&gt;"&amp;$A69,检修计划!$H$2:$H$992,1)</f>
        <v/>
      </c>
      <c r="E69" s="5">
        <f>COUNTIFS(检修计划!$E$2:$E$992,"4",检修计划!$F$2:$F$992,"&lt;"&amp;$A69+1,检修计划!$G$2:$G$992,"&gt;"&amp;$A69,检修计划!$H$2:$H$992,1)</f>
        <v/>
      </c>
      <c r="F69" s="5">
        <f>COUNTIFS(检修计划!$E$2:$E$992,"5",检修计划!$F$2:$F$992,"&lt;"&amp;$A69+1,检修计划!$G$2:$G$992,"&gt;"&amp;$A69,检修计划!$H$2:$H$992,1)</f>
        <v/>
      </c>
    </row>
    <row r="70" ht="23" customHeight="1">
      <c r="A70" s="9" t="n">
        <v>44995</v>
      </c>
      <c r="B70" s="5">
        <f>COUNTIFS(检修计划!$E$2:$E$992,"1",检修计划!$F$2:$F$992,"&lt;"&amp;$A70+1,检修计划!$G$2:$G$992,"&gt;"&amp;$A70,检修计划!$H$2:$H$992,1)</f>
        <v/>
      </c>
      <c r="C70" s="5">
        <f>COUNTIFS(检修计划!$E$2:$E$992,"2",检修计划!$F$2:$F$992,"&lt;"&amp;$A70+1,检修计划!$G$2:$G$992,"&gt;"&amp;$A70,检修计划!$H$2:$H$992,1)</f>
        <v/>
      </c>
      <c r="D70" s="5">
        <f>COUNTIFS(检修计划!$E$2:$E$992,"3",检修计划!$F$2:$F$992,"&lt;"&amp;$A70+1,检修计划!$G$2:$G$992,"&gt;"&amp;$A70,检修计划!$H$2:$H$992,1)</f>
        <v/>
      </c>
      <c r="E70" s="5">
        <f>COUNTIFS(检修计划!$E$2:$E$992,"4",检修计划!$F$2:$F$992,"&lt;"&amp;$A70+1,检修计划!$G$2:$G$992,"&gt;"&amp;$A70,检修计划!$H$2:$H$992,1)</f>
        <v/>
      </c>
      <c r="F70" s="5">
        <f>COUNTIFS(检修计划!$E$2:$E$992,"5",检修计划!$F$2:$F$992,"&lt;"&amp;$A70+1,检修计划!$G$2:$G$992,"&gt;"&amp;$A70,检修计划!$H$2:$H$992,1)</f>
        <v/>
      </c>
    </row>
    <row r="71" ht="23" customHeight="1">
      <c r="A71" s="9" t="n">
        <v>44996</v>
      </c>
      <c r="B71" s="5">
        <f>COUNTIFS(检修计划!$E$2:$E$992,"1",检修计划!$F$2:$F$992,"&lt;"&amp;$A71+1,检修计划!$G$2:$G$992,"&gt;"&amp;$A71,检修计划!$H$2:$H$992,1)</f>
        <v/>
      </c>
      <c r="C71" s="5">
        <f>COUNTIFS(检修计划!$E$2:$E$992,"2",检修计划!$F$2:$F$992,"&lt;"&amp;$A71+1,检修计划!$G$2:$G$992,"&gt;"&amp;$A71,检修计划!$H$2:$H$992,1)</f>
        <v/>
      </c>
      <c r="D71" s="5">
        <f>COUNTIFS(检修计划!$E$2:$E$992,"3",检修计划!$F$2:$F$992,"&lt;"&amp;$A71+1,检修计划!$G$2:$G$992,"&gt;"&amp;$A71,检修计划!$H$2:$H$992,1)</f>
        <v/>
      </c>
      <c r="E71" s="5">
        <f>COUNTIFS(检修计划!$E$2:$E$992,"4",检修计划!$F$2:$F$992,"&lt;"&amp;$A71+1,检修计划!$G$2:$G$992,"&gt;"&amp;$A71,检修计划!$H$2:$H$992,1)</f>
        <v/>
      </c>
      <c r="F71" s="5">
        <f>COUNTIFS(检修计划!$E$2:$E$992,"5",检修计划!$F$2:$F$992,"&lt;"&amp;$A71+1,检修计划!$G$2:$G$992,"&gt;"&amp;$A71,检修计划!$H$2:$H$992,1)</f>
        <v/>
      </c>
    </row>
    <row r="72" ht="23" customHeight="1">
      <c r="A72" s="9" t="n">
        <v>44997</v>
      </c>
      <c r="B72" s="5">
        <f>COUNTIFS(检修计划!$E$2:$E$992,"1",检修计划!$F$2:$F$992,"&lt;"&amp;$A72+1,检修计划!$G$2:$G$992,"&gt;"&amp;$A72,检修计划!$H$2:$H$992,1)</f>
        <v/>
      </c>
      <c r="C72" s="5">
        <f>COUNTIFS(检修计划!$E$2:$E$992,"2",检修计划!$F$2:$F$992,"&lt;"&amp;$A72+1,检修计划!$G$2:$G$992,"&gt;"&amp;$A72,检修计划!$H$2:$H$992,1)</f>
        <v/>
      </c>
      <c r="D72" s="5">
        <f>COUNTIFS(检修计划!$E$2:$E$992,"3",检修计划!$F$2:$F$992,"&lt;"&amp;$A72+1,检修计划!$G$2:$G$992,"&gt;"&amp;$A72,检修计划!$H$2:$H$992,1)</f>
        <v/>
      </c>
      <c r="E72" s="5">
        <f>COUNTIFS(检修计划!$E$2:$E$992,"4",检修计划!$F$2:$F$992,"&lt;"&amp;$A72+1,检修计划!$G$2:$G$992,"&gt;"&amp;$A72,检修计划!$H$2:$H$992,1)</f>
        <v/>
      </c>
      <c r="F72" s="5">
        <f>COUNTIFS(检修计划!$E$2:$E$992,"5",检修计划!$F$2:$F$992,"&lt;"&amp;$A72+1,检修计划!$G$2:$G$992,"&gt;"&amp;$A72,检修计划!$H$2:$H$992,1)</f>
        <v/>
      </c>
    </row>
    <row r="73" ht="23" customHeight="1">
      <c r="A73" s="9" t="n">
        <v>44998</v>
      </c>
      <c r="B73" s="5">
        <f>COUNTIFS(检修计划!$E$2:$E$992,"1",检修计划!$F$2:$F$992,"&lt;"&amp;$A73+1,检修计划!$G$2:$G$992,"&gt;"&amp;$A73,检修计划!$H$2:$H$992,1)</f>
        <v/>
      </c>
      <c r="C73" s="5">
        <f>COUNTIFS(检修计划!$E$2:$E$992,"2",检修计划!$F$2:$F$992,"&lt;"&amp;$A73+1,检修计划!$G$2:$G$992,"&gt;"&amp;$A73,检修计划!$H$2:$H$992,1)</f>
        <v/>
      </c>
      <c r="D73" s="5">
        <f>COUNTIFS(检修计划!$E$2:$E$992,"3",检修计划!$F$2:$F$992,"&lt;"&amp;$A73+1,检修计划!$G$2:$G$992,"&gt;"&amp;$A73,检修计划!$H$2:$H$992,1)</f>
        <v/>
      </c>
      <c r="E73" s="5">
        <f>COUNTIFS(检修计划!$E$2:$E$992,"4",检修计划!$F$2:$F$992,"&lt;"&amp;$A73+1,检修计划!$G$2:$G$992,"&gt;"&amp;$A73,检修计划!$H$2:$H$992,1)</f>
        <v/>
      </c>
      <c r="F73" s="5">
        <f>COUNTIFS(检修计划!$E$2:$E$992,"5",检修计划!$F$2:$F$992,"&lt;"&amp;$A73+1,检修计划!$G$2:$G$992,"&gt;"&amp;$A73,检修计划!$H$2:$H$992,1)</f>
        <v/>
      </c>
    </row>
    <row r="74" ht="23" customHeight="1">
      <c r="A74" s="9" t="n">
        <v>44999</v>
      </c>
      <c r="B74" s="5">
        <f>COUNTIFS(检修计划!$E$2:$E$992,"1",检修计划!$F$2:$F$992,"&lt;"&amp;$A74+1,检修计划!$G$2:$G$992,"&gt;"&amp;$A74,检修计划!$H$2:$H$992,1)</f>
        <v/>
      </c>
      <c r="C74" s="5">
        <f>COUNTIFS(检修计划!$E$2:$E$992,"2",检修计划!$F$2:$F$992,"&lt;"&amp;$A74+1,检修计划!$G$2:$G$992,"&gt;"&amp;$A74,检修计划!$H$2:$H$992,1)</f>
        <v/>
      </c>
      <c r="D74" s="5">
        <f>COUNTIFS(检修计划!$E$2:$E$992,"3",检修计划!$F$2:$F$992,"&lt;"&amp;$A74+1,检修计划!$G$2:$G$992,"&gt;"&amp;$A74,检修计划!$H$2:$H$992,1)</f>
        <v/>
      </c>
      <c r="E74" s="5">
        <f>COUNTIFS(检修计划!$E$2:$E$992,"4",检修计划!$F$2:$F$992,"&lt;"&amp;$A74+1,检修计划!$G$2:$G$992,"&gt;"&amp;$A74,检修计划!$H$2:$H$992,1)</f>
        <v/>
      </c>
      <c r="F74" s="5">
        <f>COUNTIFS(检修计划!$E$2:$E$992,"5",检修计划!$F$2:$F$992,"&lt;"&amp;$A74+1,检修计划!$G$2:$G$992,"&gt;"&amp;$A74,检修计划!$H$2:$H$992,1)</f>
        <v/>
      </c>
    </row>
    <row r="75" ht="23" customHeight="1">
      <c r="A75" s="9" t="n">
        <v>45000</v>
      </c>
      <c r="B75" s="5">
        <f>COUNTIFS(检修计划!$E$2:$E$992,"1",检修计划!$F$2:$F$992,"&lt;"&amp;$A75+1,检修计划!$G$2:$G$992,"&gt;"&amp;$A75,检修计划!$H$2:$H$992,1)</f>
        <v/>
      </c>
      <c r="C75" s="5">
        <f>COUNTIFS(检修计划!$E$2:$E$992,"2",检修计划!$F$2:$F$992,"&lt;"&amp;$A75+1,检修计划!$G$2:$G$992,"&gt;"&amp;$A75,检修计划!$H$2:$H$992,1)</f>
        <v/>
      </c>
      <c r="D75" s="5">
        <f>COUNTIFS(检修计划!$E$2:$E$992,"3",检修计划!$F$2:$F$992,"&lt;"&amp;$A75+1,检修计划!$G$2:$G$992,"&gt;"&amp;$A75,检修计划!$H$2:$H$992,1)</f>
        <v/>
      </c>
      <c r="E75" s="5">
        <f>COUNTIFS(检修计划!$E$2:$E$992,"4",检修计划!$F$2:$F$992,"&lt;"&amp;$A75+1,检修计划!$G$2:$G$992,"&gt;"&amp;$A75,检修计划!$H$2:$H$992,1)</f>
        <v/>
      </c>
      <c r="F75" s="5">
        <f>COUNTIFS(检修计划!$E$2:$E$992,"5",检修计划!$F$2:$F$992,"&lt;"&amp;$A75+1,检修计划!$G$2:$G$992,"&gt;"&amp;$A75,检修计划!$H$2:$H$992,1)</f>
        <v/>
      </c>
    </row>
    <row r="76" ht="23" customHeight="1">
      <c r="A76" s="9" t="n">
        <v>45001</v>
      </c>
      <c r="B76" s="5">
        <f>COUNTIFS(检修计划!$E$2:$E$992,"1",检修计划!$F$2:$F$992,"&lt;"&amp;$A76+1,检修计划!$G$2:$G$992,"&gt;"&amp;$A76,检修计划!$H$2:$H$992,1)</f>
        <v/>
      </c>
      <c r="C76" s="5">
        <f>COUNTIFS(检修计划!$E$2:$E$992,"2",检修计划!$F$2:$F$992,"&lt;"&amp;$A76+1,检修计划!$G$2:$G$992,"&gt;"&amp;$A76,检修计划!$H$2:$H$992,1)</f>
        <v/>
      </c>
      <c r="D76" s="5">
        <f>COUNTIFS(检修计划!$E$2:$E$992,"3",检修计划!$F$2:$F$992,"&lt;"&amp;$A76+1,检修计划!$G$2:$G$992,"&gt;"&amp;$A76,检修计划!$H$2:$H$992,1)</f>
        <v/>
      </c>
      <c r="E76" s="5">
        <f>COUNTIFS(检修计划!$E$2:$E$992,"4",检修计划!$F$2:$F$992,"&lt;"&amp;$A76+1,检修计划!$G$2:$G$992,"&gt;"&amp;$A76,检修计划!$H$2:$H$992,1)</f>
        <v/>
      </c>
      <c r="F76" s="5">
        <f>COUNTIFS(检修计划!$E$2:$E$992,"5",检修计划!$F$2:$F$992,"&lt;"&amp;$A76+1,检修计划!$G$2:$G$992,"&gt;"&amp;$A76,检修计划!$H$2:$H$992,1)</f>
        <v/>
      </c>
    </row>
    <row r="77" ht="23" customHeight="1">
      <c r="A77" s="9" t="n">
        <v>45002</v>
      </c>
      <c r="B77" s="5">
        <f>COUNTIFS(检修计划!$E$2:$E$992,"1",检修计划!$F$2:$F$992,"&lt;"&amp;$A77+1,检修计划!$G$2:$G$992,"&gt;"&amp;$A77,检修计划!$H$2:$H$992,1)</f>
        <v/>
      </c>
      <c r="C77" s="5">
        <f>COUNTIFS(检修计划!$E$2:$E$992,"2",检修计划!$F$2:$F$992,"&lt;"&amp;$A77+1,检修计划!$G$2:$G$992,"&gt;"&amp;$A77,检修计划!$H$2:$H$992,1)</f>
        <v/>
      </c>
      <c r="D77" s="5">
        <f>COUNTIFS(检修计划!$E$2:$E$992,"3",检修计划!$F$2:$F$992,"&lt;"&amp;$A77+1,检修计划!$G$2:$G$992,"&gt;"&amp;$A77,检修计划!$H$2:$H$992,1)</f>
        <v/>
      </c>
      <c r="E77" s="5">
        <f>COUNTIFS(检修计划!$E$2:$E$992,"4",检修计划!$F$2:$F$992,"&lt;"&amp;$A77+1,检修计划!$G$2:$G$992,"&gt;"&amp;$A77,检修计划!$H$2:$H$992,1)</f>
        <v/>
      </c>
      <c r="F77" s="5">
        <f>COUNTIFS(检修计划!$E$2:$E$992,"5",检修计划!$F$2:$F$992,"&lt;"&amp;$A77+1,检修计划!$G$2:$G$992,"&gt;"&amp;$A77,检修计划!$H$2:$H$992,1)</f>
        <v/>
      </c>
    </row>
    <row r="78" ht="23" customHeight="1">
      <c r="A78" s="9" t="n">
        <v>45003</v>
      </c>
      <c r="B78" s="5">
        <f>COUNTIFS(检修计划!$E$2:$E$992,"1",检修计划!$F$2:$F$992,"&lt;"&amp;$A78+1,检修计划!$G$2:$G$992,"&gt;"&amp;$A78,检修计划!$H$2:$H$992,1)</f>
        <v/>
      </c>
      <c r="C78" s="5">
        <f>COUNTIFS(检修计划!$E$2:$E$992,"2",检修计划!$F$2:$F$992,"&lt;"&amp;$A78+1,检修计划!$G$2:$G$992,"&gt;"&amp;$A78,检修计划!$H$2:$H$992,1)</f>
        <v/>
      </c>
      <c r="D78" s="5">
        <f>COUNTIFS(检修计划!$E$2:$E$992,"3",检修计划!$F$2:$F$992,"&lt;"&amp;$A78+1,检修计划!$G$2:$G$992,"&gt;"&amp;$A78,检修计划!$H$2:$H$992,1)</f>
        <v/>
      </c>
      <c r="E78" s="5">
        <f>COUNTIFS(检修计划!$E$2:$E$992,"4",检修计划!$F$2:$F$992,"&lt;"&amp;$A78+1,检修计划!$G$2:$G$992,"&gt;"&amp;$A78,检修计划!$H$2:$H$992,1)</f>
        <v/>
      </c>
      <c r="F78" s="5">
        <f>COUNTIFS(检修计划!$E$2:$E$992,"5",检修计划!$F$2:$F$992,"&lt;"&amp;$A78+1,检修计划!$G$2:$G$992,"&gt;"&amp;$A78,检修计划!$H$2:$H$992,1)</f>
        <v/>
      </c>
    </row>
    <row r="79" ht="23" customHeight="1">
      <c r="A79" s="9" t="n">
        <v>45004</v>
      </c>
      <c r="B79" s="5">
        <f>COUNTIFS(检修计划!$E$2:$E$992,"1",检修计划!$F$2:$F$992,"&lt;"&amp;$A79+1,检修计划!$G$2:$G$992,"&gt;"&amp;$A79,检修计划!$H$2:$H$992,1)</f>
        <v/>
      </c>
      <c r="C79" s="5">
        <f>COUNTIFS(检修计划!$E$2:$E$992,"2",检修计划!$F$2:$F$992,"&lt;"&amp;$A79+1,检修计划!$G$2:$G$992,"&gt;"&amp;$A79,检修计划!$H$2:$H$992,1)</f>
        <v/>
      </c>
      <c r="D79" s="5">
        <f>COUNTIFS(检修计划!$E$2:$E$992,"3",检修计划!$F$2:$F$992,"&lt;"&amp;$A79+1,检修计划!$G$2:$G$992,"&gt;"&amp;$A79,检修计划!$H$2:$H$992,1)</f>
        <v/>
      </c>
      <c r="E79" s="5">
        <f>COUNTIFS(检修计划!$E$2:$E$992,"4",检修计划!$F$2:$F$992,"&lt;"&amp;$A79+1,检修计划!$G$2:$G$992,"&gt;"&amp;$A79,检修计划!$H$2:$H$992,1)</f>
        <v/>
      </c>
      <c r="F79" s="5">
        <f>COUNTIFS(检修计划!$E$2:$E$992,"5",检修计划!$F$2:$F$992,"&lt;"&amp;$A79+1,检修计划!$G$2:$G$992,"&gt;"&amp;$A79,检修计划!$H$2:$H$992,1)</f>
        <v/>
      </c>
    </row>
    <row r="80" ht="23" customHeight="1">
      <c r="A80" s="9" t="n">
        <v>45005</v>
      </c>
      <c r="B80" s="5">
        <f>COUNTIFS(检修计划!$E$2:$E$992,"1",检修计划!$F$2:$F$992,"&lt;"&amp;$A80+1,检修计划!$G$2:$G$992,"&gt;"&amp;$A80,检修计划!$H$2:$H$992,1)</f>
        <v/>
      </c>
      <c r="C80" s="5">
        <f>COUNTIFS(检修计划!$E$2:$E$992,"2",检修计划!$F$2:$F$992,"&lt;"&amp;$A80+1,检修计划!$G$2:$G$992,"&gt;"&amp;$A80,检修计划!$H$2:$H$992,1)</f>
        <v/>
      </c>
      <c r="D80" s="5">
        <f>COUNTIFS(检修计划!$E$2:$E$992,"3",检修计划!$F$2:$F$992,"&lt;"&amp;$A80+1,检修计划!$G$2:$G$992,"&gt;"&amp;$A80,检修计划!$H$2:$H$992,1)</f>
        <v/>
      </c>
      <c r="E80" s="5">
        <f>COUNTIFS(检修计划!$E$2:$E$992,"4",检修计划!$F$2:$F$992,"&lt;"&amp;$A80+1,检修计划!$G$2:$G$992,"&gt;"&amp;$A80,检修计划!$H$2:$H$992,1)</f>
        <v/>
      </c>
      <c r="F80" s="5">
        <f>COUNTIFS(检修计划!$E$2:$E$992,"5",检修计划!$F$2:$F$992,"&lt;"&amp;$A80+1,检修计划!$G$2:$G$992,"&gt;"&amp;$A80,检修计划!$H$2:$H$992,1)</f>
        <v/>
      </c>
    </row>
    <row r="81" ht="23" customHeight="1">
      <c r="A81" s="9" t="n">
        <v>45006</v>
      </c>
      <c r="B81" s="5">
        <f>COUNTIFS(检修计划!$E$2:$E$992,"1",检修计划!$F$2:$F$992,"&lt;"&amp;$A81+1,检修计划!$G$2:$G$992,"&gt;"&amp;$A81,检修计划!$H$2:$H$992,1)</f>
        <v/>
      </c>
      <c r="C81" s="5">
        <f>COUNTIFS(检修计划!$E$2:$E$992,"2",检修计划!$F$2:$F$992,"&lt;"&amp;$A81+1,检修计划!$G$2:$G$992,"&gt;"&amp;$A81,检修计划!$H$2:$H$992,1)</f>
        <v/>
      </c>
      <c r="D81" s="5">
        <f>COUNTIFS(检修计划!$E$2:$E$992,"3",检修计划!$F$2:$F$992,"&lt;"&amp;$A81+1,检修计划!$G$2:$G$992,"&gt;"&amp;$A81,检修计划!$H$2:$H$992,1)</f>
        <v/>
      </c>
      <c r="E81" s="5">
        <f>COUNTIFS(检修计划!$E$2:$E$992,"4",检修计划!$F$2:$F$992,"&lt;"&amp;$A81+1,检修计划!$G$2:$G$992,"&gt;"&amp;$A81,检修计划!$H$2:$H$992,1)</f>
        <v/>
      </c>
      <c r="F81" s="5">
        <f>COUNTIFS(检修计划!$E$2:$E$992,"5",检修计划!$F$2:$F$992,"&lt;"&amp;$A81+1,检修计划!$G$2:$G$992,"&gt;"&amp;$A81,检修计划!$H$2:$H$992,1)</f>
        <v/>
      </c>
    </row>
    <row r="82" ht="23" customHeight="1">
      <c r="A82" s="9" t="n">
        <v>45007</v>
      </c>
      <c r="B82" s="5">
        <f>COUNTIFS(检修计划!$E$2:$E$992,"1",检修计划!$F$2:$F$992,"&lt;"&amp;$A82+1,检修计划!$G$2:$G$992,"&gt;"&amp;$A82,检修计划!$H$2:$H$992,1)</f>
        <v/>
      </c>
      <c r="C82" s="5">
        <f>COUNTIFS(检修计划!$E$2:$E$992,"2",检修计划!$F$2:$F$992,"&lt;"&amp;$A82+1,检修计划!$G$2:$G$992,"&gt;"&amp;$A82,检修计划!$H$2:$H$992,1)</f>
        <v/>
      </c>
      <c r="D82" s="5">
        <f>COUNTIFS(检修计划!$E$2:$E$992,"3",检修计划!$F$2:$F$992,"&lt;"&amp;$A82+1,检修计划!$G$2:$G$992,"&gt;"&amp;$A82,检修计划!$H$2:$H$992,1)</f>
        <v/>
      </c>
      <c r="E82" s="5">
        <f>COUNTIFS(检修计划!$E$2:$E$992,"4",检修计划!$F$2:$F$992,"&lt;"&amp;$A82+1,检修计划!$G$2:$G$992,"&gt;"&amp;$A82,检修计划!$H$2:$H$992,1)</f>
        <v/>
      </c>
      <c r="F82" s="5">
        <f>COUNTIFS(检修计划!$E$2:$E$992,"5",检修计划!$F$2:$F$992,"&lt;"&amp;$A82+1,检修计划!$G$2:$G$992,"&gt;"&amp;$A82,检修计划!$H$2:$H$992,1)</f>
        <v/>
      </c>
    </row>
    <row r="83" ht="23" customHeight="1">
      <c r="A83" s="9" t="n">
        <v>45008</v>
      </c>
      <c r="B83" s="5">
        <f>COUNTIFS(检修计划!$E$2:$E$992,"1",检修计划!$F$2:$F$992,"&lt;"&amp;$A83+1,检修计划!$G$2:$G$992,"&gt;"&amp;$A83,检修计划!$H$2:$H$992,1)</f>
        <v/>
      </c>
      <c r="C83" s="5">
        <f>COUNTIFS(检修计划!$E$2:$E$992,"2",检修计划!$F$2:$F$992,"&lt;"&amp;$A83+1,检修计划!$G$2:$G$992,"&gt;"&amp;$A83,检修计划!$H$2:$H$992,1)</f>
        <v/>
      </c>
      <c r="D83" s="5">
        <f>COUNTIFS(检修计划!$E$2:$E$992,"3",检修计划!$F$2:$F$992,"&lt;"&amp;$A83+1,检修计划!$G$2:$G$992,"&gt;"&amp;$A83,检修计划!$H$2:$H$992,1)</f>
        <v/>
      </c>
      <c r="E83" s="5">
        <f>COUNTIFS(检修计划!$E$2:$E$992,"4",检修计划!$F$2:$F$992,"&lt;"&amp;$A83+1,检修计划!$G$2:$G$992,"&gt;"&amp;$A83,检修计划!$H$2:$H$992,1)</f>
        <v/>
      </c>
      <c r="F83" s="5">
        <f>COUNTIFS(检修计划!$E$2:$E$992,"5",检修计划!$F$2:$F$992,"&lt;"&amp;$A83+1,检修计划!$G$2:$G$992,"&gt;"&amp;$A83,检修计划!$H$2:$H$992,1)</f>
        <v/>
      </c>
    </row>
    <row r="84" ht="23" customHeight="1">
      <c r="A84" s="9" t="n">
        <v>45009</v>
      </c>
      <c r="B84" s="5">
        <f>COUNTIFS(检修计划!$E$2:$E$992,"1",检修计划!$F$2:$F$992,"&lt;"&amp;$A84+1,检修计划!$G$2:$G$992,"&gt;"&amp;$A84,检修计划!$H$2:$H$992,1)</f>
        <v/>
      </c>
      <c r="C84" s="5">
        <f>COUNTIFS(检修计划!$E$2:$E$992,"2",检修计划!$F$2:$F$992,"&lt;"&amp;$A84+1,检修计划!$G$2:$G$992,"&gt;"&amp;$A84,检修计划!$H$2:$H$992,1)</f>
        <v/>
      </c>
      <c r="D84" s="5">
        <f>COUNTIFS(检修计划!$E$2:$E$992,"3",检修计划!$F$2:$F$992,"&lt;"&amp;$A84+1,检修计划!$G$2:$G$992,"&gt;"&amp;$A84,检修计划!$H$2:$H$992,1)</f>
        <v/>
      </c>
      <c r="E84" s="5">
        <f>COUNTIFS(检修计划!$E$2:$E$992,"4",检修计划!$F$2:$F$992,"&lt;"&amp;$A84+1,检修计划!$G$2:$G$992,"&gt;"&amp;$A84,检修计划!$H$2:$H$992,1)</f>
        <v/>
      </c>
      <c r="F84" s="5">
        <f>COUNTIFS(检修计划!$E$2:$E$992,"5",检修计划!$F$2:$F$992,"&lt;"&amp;$A84+1,检修计划!$G$2:$G$992,"&gt;"&amp;$A84,检修计划!$H$2:$H$992,1)</f>
        <v/>
      </c>
    </row>
    <row r="85" ht="23" customHeight="1">
      <c r="A85" s="9" t="n">
        <v>45010</v>
      </c>
      <c r="B85" s="5">
        <f>COUNTIFS(检修计划!$E$2:$E$992,"1",检修计划!$F$2:$F$992,"&lt;"&amp;$A85+1,检修计划!$G$2:$G$992,"&gt;"&amp;$A85,检修计划!$H$2:$H$992,1)</f>
        <v/>
      </c>
      <c r="C85" s="5">
        <f>COUNTIFS(检修计划!$E$2:$E$992,"2",检修计划!$F$2:$F$992,"&lt;"&amp;$A85+1,检修计划!$G$2:$G$992,"&gt;"&amp;$A85,检修计划!$H$2:$H$992,1)</f>
        <v/>
      </c>
      <c r="D85" s="5">
        <f>COUNTIFS(检修计划!$E$2:$E$992,"3",检修计划!$F$2:$F$992,"&lt;"&amp;$A85+1,检修计划!$G$2:$G$992,"&gt;"&amp;$A85,检修计划!$H$2:$H$992,1)</f>
        <v/>
      </c>
      <c r="E85" s="5">
        <f>COUNTIFS(检修计划!$E$2:$E$992,"4",检修计划!$F$2:$F$992,"&lt;"&amp;$A85+1,检修计划!$G$2:$G$992,"&gt;"&amp;$A85,检修计划!$H$2:$H$992,1)</f>
        <v/>
      </c>
      <c r="F85" s="5">
        <f>COUNTIFS(检修计划!$E$2:$E$992,"5",检修计划!$F$2:$F$992,"&lt;"&amp;$A85+1,检修计划!$G$2:$G$992,"&gt;"&amp;$A85,检修计划!$H$2:$H$992,1)</f>
        <v/>
      </c>
    </row>
    <row r="86" ht="23" customHeight="1">
      <c r="A86" s="9" t="n">
        <v>45011</v>
      </c>
      <c r="B86" s="5">
        <f>COUNTIFS(检修计划!$E$2:$E$992,"1",检修计划!$F$2:$F$992,"&lt;"&amp;$A86+1,检修计划!$G$2:$G$992,"&gt;"&amp;$A86,检修计划!$H$2:$H$992,1)</f>
        <v/>
      </c>
      <c r="C86" s="5">
        <f>COUNTIFS(检修计划!$E$2:$E$992,"2",检修计划!$F$2:$F$992,"&lt;"&amp;$A86+1,检修计划!$G$2:$G$992,"&gt;"&amp;$A86,检修计划!$H$2:$H$992,1)</f>
        <v/>
      </c>
      <c r="D86" s="5">
        <f>COUNTIFS(检修计划!$E$2:$E$992,"3",检修计划!$F$2:$F$992,"&lt;"&amp;$A86+1,检修计划!$G$2:$G$992,"&gt;"&amp;$A86,检修计划!$H$2:$H$992,1)</f>
        <v/>
      </c>
      <c r="E86" s="5">
        <f>COUNTIFS(检修计划!$E$2:$E$992,"4",检修计划!$F$2:$F$992,"&lt;"&amp;$A86+1,检修计划!$G$2:$G$992,"&gt;"&amp;$A86,检修计划!$H$2:$H$992,1)</f>
        <v/>
      </c>
      <c r="F86" s="5">
        <f>COUNTIFS(检修计划!$E$2:$E$992,"5",检修计划!$F$2:$F$992,"&lt;"&amp;$A86+1,检修计划!$G$2:$G$992,"&gt;"&amp;$A86,检修计划!$H$2:$H$992,1)</f>
        <v/>
      </c>
    </row>
    <row r="87" ht="23" customHeight="1">
      <c r="A87" s="9" t="n">
        <v>45012</v>
      </c>
      <c r="B87" s="5">
        <f>COUNTIFS(检修计划!$E$2:$E$992,"1",检修计划!$F$2:$F$992,"&lt;"&amp;$A87+1,检修计划!$G$2:$G$992,"&gt;"&amp;$A87,检修计划!$H$2:$H$992,1)</f>
        <v/>
      </c>
      <c r="C87" s="5">
        <f>COUNTIFS(检修计划!$E$2:$E$992,"2",检修计划!$F$2:$F$992,"&lt;"&amp;$A87+1,检修计划!$G$2:$G$992,"&gt;"&amp;$A87,检修计划!$H$2:$H$992,1)</f>
        <v/>
      </c>
      <c r="D87" s="5">
        <f>COUNTIFS(检修计划!$E$2:$E$992,"3",检修计划!$F$2:$F$992,"&lt;"&amp;$A87+1,检修计划!$G$2:$G$992,"&gt;"&amp;$A87,检修计划!$H$2:$H$992,1)</f>
        <v/>
      </c>
      <c r="E87" s="5">
        <f>COUNTIFS(检修计划!$E$2:$E$992,"4",检修计划!$F$2:$F$992,"&lt;"&amp;$A87+1,检修计划!$G$2:$G$992,"&gt;"&amp;$A87,检修计划!$H$2:$H$992,1)</f>
        <v/>
      </c>
      <c r="F87" s="5">
        <f>COUNTIFS(检修计划!$E$2:$E$992,"5",检修计划!$F$2:$F$992,"&lt;"&amp;$A87+1,检修计划!$G$2:$G$992,"&gt;"&amp;$A87,检修计划!$H$2:$H$992,1)</f>
        <v/>
      </c>
    </row>
    <row r="88" ht="23" customHeight="1">
      <c r="A88" s="9" t="n">
        <v>45013</v>
      </c>
      <c r="B88" s="5">
        <f>COUNTIFS(检修计划!$E$2:$E$992,"1",检修计划!$F$2:$F$992,"&lt;"&amp;$A88+1,检修计划!$G$2:$G$992,"&gt;"&amp;$A88,检修计划!$H$2:$H$992,1)</f>
        <v/>
      </c>
      <c r="C88" s="5">
        <f>COUNTIFS(检修计划!$E$2:$E$992,"2",检修计划!$F$2:$F$992,"&lt;"&amp;$A88+1,检修计划!$G$2:$G$992,"&gt;"&amp;$A88,检修计划!$H$2:$H$992,1)</f>
        <v/>
      </c>
      <c r="D88" s="5">
        <f>COUNTIFS(检修计划!$E$2:$E$992,"3",检修计划!$F$2:$F$992,"&lt;"&amp;$A88+1,检修计划!$G$2:$G$992,"&gt;"&amp;$A88,检修计划!$H$2:$H$992,1)</f>
        <v/>
      </c>
      <c r="E88" s="5">
        <f>COUNTIFS(检修计划!$E$2:$E$992,"4",检修计划!$F$2:$F$992,"&lt;"&amp;$A88+1,检修计划!$G$2:$G$992,"&gt;"&amp;$A88,检修计划!$H$2:$H$992,1)</f>
        <v/>
      </c>
      <c r="F88" s="5">
        <f>COUNTIFS(检修计划!$E$2:$E$992,"5",检修计划!$F$2:$F$992,"&lt;"&amp;$A88+1,检修计划!$G$2:$G$992,"&gt;"&amp;$A88,检修计划!$H$2:$H$992,1)</f>
        <v/>
      </c>
    </row>
    <row r="89" ht="23" customHeight="1">
      <c r="A89" s="9" t="n">
        <v>45014</v>
      </c>
      <c r="B89" s="5">
        <f>COUNTIFS(检修计划!$E$2:$E$992,"1",检修计划!$F$2:$F$992,"&lt;"&amp;$A89+1,检修计划!$G$2:$G$992,"&gt;"&amp;$A89,检修计划!$H$2:$H$992,1)</f>
        <v/>
      </c>
      <c r="C89" s="5">
        <f>COUNTIFS(检修计划!$E$2:$E$992,"2",检修计划!$F$2:$F$992,"&lt;"&amp;$A89+1,检修计划!$G$2:$G$992,"&gt;"&amp;$A89,检修计划!$H$2:$H$992,1)</f>
        <v/>
      </c>
      <c r="D89" s="5">
        <f>COUNTIFS(检修计划!$E$2:$E$992,"3",检修计划!$F$2:$F$992,"&lt;"&amp;$A89+1,检修计划!$G$2:$G$992,"&gt;"&amp;$A89,检修计划!$H$2:$H$992,1)</f>
        <v/>
      </c>
      <c r="E89" s="5">
        <f>COUNTIFS(检修计划!$E$2:$E$992,"4",检修计划!$F$2:$F$992,"&lt;"&amp;$A89+1,检修计划!$G$2:$G$992,"&gt;"&amp;$A89,检修计划!$H$2:$H$992,1)</f>
        <v/>
      </c>
      <c r="F89" s="5">
        <f>COUNTIFS(检修计划!$E$2:$E$992,"5",检修计划!$F$2:$F$992,"&lt;"&amp;$A89+1,检修计划!$G$2:$G$992,"&gt;"&amp;$A89,检修计划!$H$2:$H$992,1)</f>
        <v/>
      </c>
    </row>
    <row r="90" ht="23" customHeight="1">
      <c r="A90" s="9" t="n">
        <v>45015</v>
      </c>
      <c r="B90" s="5">
        <f>COUNTIFS(检修计划!$E$2:$E$992,"1",检修计划!$F$2:$F$992,"&lt;"&amp;$A90+1,检修计划!$G$2:$G$992,"&gt;"&amp;$A90,检修计划!$H$2:$H$992,1)</f>
        <v/>
      </c>
      <c r="C90" s="5">
        <f>COUNTIFS(检修计划!$E$2:$E$992,"2",检修计划!$F$2:$F$992,"&lt;"&amp;$A90+1,检修计划!$G$2:$G$992,"&gt;"&amp;$A90,检修计划!$H$2:$H$992,1)</f>
        <v/>
      </c>
      <c r="D90" s="5">
        <f>COUNTIFS(检修计划!$E$2:$E$992,"3",检修计划!$F$2:$F$992,"&lt;"&amp;$A90+1,检修计划!$G$2:$G$992,"&gt;"&amp;$A90,检修计划!$H$2:$H$992,1)</f>
        <v/>
      </c>
      <c r="E90" s="5">
        <f>COUNTIFS(检修计划!$E$2:$E$992,"4",检修计划!$F$2:$F$992,"&lt;"&amp;$A90+1,检修计划!$G$2:$G$992,"&gt;"&amp;$A90,检修计划!$H$2:$H$992,1)</f>
        <v/>
      </c>
      <c r="F90" s="5">
        <f>COUNTIFS(检修计划!$E$2:$E$992,"5",检修计划!$F$2:$F$992,"&lt;"&amp;$A90+1,检修计划!$G$2:$G$992,"&gt;"&amp;$A90,检修计划!$H$2:$H$992,1)</f>
        <v/>
      </c>
    </row>
    <row r="91" ht="23" customHeight="1">
      <c r="A91" s="9" t="n">
        <v>45016</v>
      </c>
      <c r="B91" s="5">
        <f>COUNTIFS(检修计划!$E$2:$E$992,"1",检修计划!$F$2:$F$992,"&lt;"&amp;$A91+1,检修计划!$G$2:$G$992,"&gt;"&amp;$A91,检修计划!$H$2:$H$992,1)</f>
        <v/>
      </c>
      <c r="C91" s="5">
        <f>COUNTIFS(检修计划!$E$2:$E$992,"2",检修计划!$F$2:$F$992,"&lt;"&amp;$A91+1,检修计划!$G$2:$G$992,"&gt;"&amp;$A91,检修计划!$H$2:$H$992,1)</f>
        <v/>
      </c>
      <c r="D91" s="5">
        <f>COUNTIFS(检修计划!$E$2:$E$992,"3",检修计划!$F$2:$F$992,"&lt;"&amp;$A91+1,检修计划!$G$2:$G$992,"&gt;"&amp;$A91,检修计划!$H$2:$H$992,1)</f>
        <v/>
      </c>
      <c r="E91" s="5">
        <f>COUNTIFS(检修计划!$E$2:$E$992,"4",检修计划!$F$2:$F$992,"&lt;"&amp;$A91+1,检修计划!$G$2:$G$992,"&gt;"&amp;$A91,检修计划!$H$2:$H$992,1)</f>
        <v/>
      </c>
      <c r="F91" s="5">
        <f>COUNTIFS(检修计划!$E$2:$E$992,"5",检修计划!$F$2:$F$992,"&lt;"&amp;$A91+1,检修计划!$G$2:$G$992,"&gt;"&amp;$A91,检修计划!$H$2:$H$992,1)</f>
        <v/>
      </c>
    </row>
    <row r="92" ht="23" customHeight="1">
      <c r="A92" s="9" t="n">
        <v>45017</v>
      </c>
      <c r="B92" s="5">
        <f>COUNTIFS(检修计划!$E$2:$E$992,"1",检修计划!$F$2:$F$992,"&lt;"&amp;$A92+1,检修计划!$G$2:$G$992,"&gt;"&amp;$A92,检修计划!$H$2:$H$992,1)</f>
        <v/>
      </c>
      <c r="C92" s="5">
        <f>COUNTIFS(检修计划!$E$2:$E$992,"2",检修计划!$F$2:$F$992,"&lt;"&amp;$A92+1,检修计划!$G$2:$G$992,"&gt;"&amp;$A92,检修计划!$H$2:$H$992,1)</f>
        <v/>
      </c>
      <c r="D92" s="5">
        <f>COUNTIFS(检修计划!$E$2:$E$992,"3",检修计划!$F$2:$F$992,"&lt;"&amp;$A92+1,检修计划!$G$2:$G$992,"&gt;"&amp;$A92,检修计划!$H$2:$H$992,1)</f>
        <v/>
      </c>
      <c r="E92" s="5">
        <f>COUNTIFS(检修计划!$E$2:$E$992,"4",检修计划!$F$2:$F$992,"&lt;"&amp;$A92+1,检修计划!$G$2:$G$992,"&gt;"&amp;$A92,检修计划!$H$2:$H$992,1)</f>
        <v/>
      </c>
      <c r="F92" s="5">
        <f>COUNTIFS(检修计划!$E$2:$E$992,"5",检修计划!$F$2:$F$992,"&lt;"&amp;$A92+1,检修计划!$G$2:$G$992,"&gt;"&amp;$A92,检修计划!$H$2:$H$992,1)</f>
        <v/>
      </c>
    </row>
    <row r="93" ht="23" customHeight="1">
      <c r="A93" s="9" t="n">
        <v>45018</v>
      </c>
      <c r="B93" s="5">
        <f>COUNTIFS(检修计划!$E$2:$E$992,"1",检修计划!$F$2:$F$992,"&lt;"&amp;$A93+1,检修计划!$G$2:$G$992,"&gt;"&amp;$A93,检修计划!$H$2:$H$992,1)</f>
        <v/>
      </c>
      <c r="C93" s="5">
        <f>COUNTIFS(检修计划!$E$2:$E$992,"2",检修计划!$F$2:$F$992,"&lt;"&amp;$A93+1,检修计划!$G$2:$G$992,"&gt;"&amp;$A93,检修计划!$H$2:$H$992,1)</f>
        <v/>
      </c>
      <c r="D93" s="5">
        <f>COUNTIFS(检修计划!$E$2:$E$992,"3",检修计划!$F$2:$F$992,"&lt;"&amp;$A93+1,检修计划!$G$2:$G$992,"&gt;"&amp;$A93,检修计划!$H$2:$H$992,1)</f>
        <v/>
      </c>
      <c r="E93" s="5">
        <f>COUNTIFS(检修计划!$E$2:$E$992,"4",检修计划!$F$2:$F$992,"&lt;"&amp;$A93+1,检修计划!$G$2:$G$992,"&gt;"&amp;$A93,检修计划!$H$2:$H$992,1)</f>
        <v/>
      </c>
      <c r="F93" s="5">
        <f>COUNTIFS(检修计划!$E$2:$E$992,"5",检修计划!$F$2:$F$992,"&lt;"&amp;$A93+1,检修计划!$G$2:$G$992,"&gt;"&amp;$A93,检修计划!$H$2:$H$992,1)</f>
        <v/>
      </c>
    </row>
    <row r="94" ht="23" customHeight="1">
      <c r="A94" s="9" t="n">
        <v>45019</v>
      </c>
      <c r="B94" s="5">
        <f>COUNTIFS(检修计划!$E$2:$E$992,"1",检修计划!$F$2:$F$992,"&lt;"&amp;$A94+1,检修计划!$G$2:$G$992,"&gt;"&amp;$A94,检修计划!$H$2:$H$992,1)</f>
        <v/>
      </c>
      <c r="C94" s="5">
        <f>COUNTIFS(检修计划!$E$2:$E$992,"2",检修计划!$F$2:$F$992,"&lt;"&amp;$A94+1,检修计划!$G$2:$G$992,"&gt;"&amp;$A94,检修计划!$H$2:$H$992,1)</f>
        <v/>
      </c>
      <c r="D94" s="5">
        <f>COUNTIFS(检修计划!$E$2:$E$992,"3",检修计划!$F$2:$F$992,"&lt;"&amp;$A94+1,检修计划!$G$2:$G$992,"&gt;"&amp;$A94,检修计划!$H$2:$H$992,1)</f>
        <v/>
      </c>
      <c r="E94" s="5">
        <f>COUNTIFS(检修计划!$E$2:$E$992,"4",检修计划!$F$2:$F$992,"&lt;"&amp;$A94+1,检修计划!$G$2:$G$992,"&gt;"&amp;$A94,检修计划!$H$2:$H$992,1)</f>
        <v/>
      </c>
      <c r="F94" s="5">
        <f>COUNTIFS(检修计划!$E$2:$E$992,"5",检修计划!$F$2:$F$992,"&lt;"&amp;$A94+1,检修计划!$G$2:$G$992,"&gt;"&amp;$A94,检修计划!$H$2:$H$992,1)</f>
        <v/>
      </c>
    </row>
    <row r="95" ht="23" customHeight="1">
      <c r="A95" s="9" t="n">
        <v>45020</v>
      </c>
      <c r="B95" s="5">
        <f>COUNTIFS(检修计划!$E$2:$E$992,"1",检修计划!$F$2:$F$992,"&lt;"&amp;$A95+1,检修计划!$G$2:$G$992,"&gt;"&amp;$A95,检修计划!$H$2:$H$992,1)</f>
        <v/>
      </c>
      <c r="C95" s="5">
        <f>COUNTIFS(检修计划!$E$2:$E$992,"2",检修计划!$F$2:$F$992,"&lt;"&amp;$A95+1,检修计划!$G$2:$G$992,"&gt;"&amp;$A95,检修计划!$H$2:$H$992,1)</f>
        <v/>
      </c>
      <c r="D95" s="5">
        <f>COUNTIFS(检修计划!$E$2:$E$992,"3",检修计划!$F$2:$F$992,"&lt;"&amp;$A95+1,检修计划!$G$2:$G$992,"&gt;"&amp;$A95,检修计划!$H$2:$H$992,1)</f>
        <v/>
      </c>
      <c r="E95" s="5">
        <f>COUNTIFS(检修计划!$E$2:$E$992,"4",检修计划!$F$2:$F$992,"&lt;"&amp;$A95+1,检修计划!$G$2:$G$992,"&gt;"&amp;$A95,检修计划!$H$2:$H$992,1)</f>
        <v/>
      </c>
      <c r="F95" s="5">
        <f>COUNTIFS(检修计划!$E$2:$E$992,"5",检修计划!$F$2:$F$992,"&lt;"&amp;$A95+1,检修计划!$G$2:$G$992,"&gt;"&amp;$A95,检修计划!$H$2:$H$992,1)</f>
        <v/>
      </c>
    </row>
    <row r="96" ht="23" customHeight="1">
      <c r="A96" s="9" t="n">
        <v>45021</v>
      </c>
      <c r="B96" s="5">
        <f>COUNTIFS(检修计划!$E$2:$E$992,"1",检修计划!$F$2:$F$992,"&lt;"&amp;$A96+1,检修计划!$G$2:$G$992,"&gt;"&amp;$A96,检修计划!$H$2:$H$992,1)</f>
        <v/>
      </c>
      <c r="C96" s="5">
        <f>COUNTIFS(检修计划!$E$2:$E$992,"2",检修计划!$F$2:$F$992,"&lt;"&amp;$A96+1,检修计划!$G$2:$G$992,"&gt;"&amp;$A96,检修计划!$H$2:$H$992,1)</f>
        <v/>
      </c>
      <c r="D96" s="5">
        <f>COUNTIFS(检修计划!$E$2:$E$992,"3",检修计划!$F$2:$F$992,"&lt;"&amp;$A96+1,检修计划!$G$2:$G$992,"&gt;"&amp;$A96,检修计划!$H$2:$H$992,1)</f>
        <v/>
      </c>
      <c r="E96" s="5">
        <f>COUNTIFS(检修计划!$E$2:$E$992,"4",检修计划!$F$2:$F$992,"&lt;"&amp;$A96+1,检修计划!$G$2:$G$992,"&gt;"&amp;$A96,检修计划!$H$2:$H$992,1)</f>
        <v/>
      </c>
      <c r="F96" s="5">
        <f>COUNTIFS(检修计划!$E$2:$E$992,"5",检修计划!$F$2:$F$992,"&lt;"&amp;$A96+1,检修计划!$G$2:$G$992,"&gt;"&amp;$A96,检修计划!$H$2:$H$992,1)</f>
        <v/>
      </c>
    </row>
    <row r="97" ht="23" customHeight="1">
      <c r="A97" s="9" t="n">
        <v>45022</v>
      </c>
      <c r="B97" s="5">
        <f>COUNTIFS(检修计划!$E$2:$E$992,"1",检修计划!$F$2:$F$992,"&lt;"&amp;$A97+1,检修计划!$G$2:$G$992,"&gt;"&amp;$A97,检修计划!$H$2:$H$992,1)</f>
        <v/>
      </c>
      <c r="C97" s="5">
        <f>COUNTIFS(检修计划!$E$2:$E$992,"2",检修计划!$F$2:$F$992,"&lt;"&amp;$A97+1,检修计划!$G$2:$G$992,"&gt;"&amp;$A97,检修计划!$H$2:$H$992,1)</f>
        <v/>
      </c>
      <c r="D97" s="5">
        <f>COUNTIFS(检修计划!$E$2:$E$992,"3",检修计划!$F$2:$F$992,"&lt;"&amp;$A97+1,检修计划!$G$2:$G$992,"&gt;"&amp;$A97,检修计划!$H$2:$H$992,1)</f>
        <v/>
      </c>
      <c r="E97" s="5">
        <f>COUNTIFS(检修计划!$E$2:$E$992,"4",检修计划!$F$2:$F$992,"&lt;"&amp;$A97+1,检修计划!$G$2:$G$992,"&gt;"&amp;$A97,检修计划!$H$2:$H$992,1)</f>
        <v/>
      </c>
      <c r="F97" s="5">
        <f>COUNTIFS(检修计划!$E$2:$E$992,"5",检修计划!$F$2:$F$992,"&lt;"&amp;$A97+1,检修计划!$G$2:$G$992,"&gt;"&amp;$A97,检修计划!$H$2:$H$992,1)</f>
        <v/>
      </c>
    </row>
    <row r="98" ht="23" customHeight="1">
      <c r="A98" s="9" t="n">
        <v>45023</v>
      </c>
      <c r="B98" s="5">
        <f>COUNTIFS(检修计划!$E$2:$E$992,"1",检修计划!$F$2:$F$992,"&lt;"&amp;$A98+1,检修计划!$G$2:$G$992,"&gt;"&amp;$A98,检修计划!$H$2:$H$992,1)</f>
        <v/>
      </c>
      <c r="C98" s="5">
        <f>COUNTIFS(检修计划!$E$2:$E$992,"2",检修计划!$F$2:$F$992,"&lt;"&amp;$A98+1,检修计划!$G$2:$G$992,"&gt;"&amp;$A98,检修计划!$H$2:$H$992,1)</f>
        <v/>
      </c>
      <c r="D98" s="5">
        <f>COUNTIFS(检修计划!$E$2:$E$992,"3",检修计划!$F$2:$F$992,"&lt;"&amp;$A98+1,检修计划!$G$2:$G$992,"&gt;"&amp;$A98,检修计划!$H$2:$H$992,1)</f>
        <v/>
      </c>
      <c r="E98" s="5">
        <f>COUNTIFS(检修计划!$E$2:$E$992,"4",检修计划!$F$2:$F$992,"&lt;"&amp;$A98+1,检修计划!$G$2:$G$992,"&gt;"&amp;$A98,检修计划!$H$2:$H$992,1)</f>
        <v/>
      </c>
      <c r="F98" s="5">
        <f>COUNTIFS(检修计划!$E$2:$E$992,"5",检修计划!$F$2:$F$992,"&lt;"&amp;$A98+1,检修计划!$G$2:$G$992,"&gt;"&amp;$A98,检修计划!$H$2:$H$992,1)</f>
        <v/>
      </c>
    </row>
    <row r="99" ht="23" customHeight="1">
      <c r="A99" s="9" t="n">
        <v>45024</v>
      </c>
      <c r="B99" s="5">
        <f>COUNTIFS(检修计划!$E$2:$E$992,"1",检修计划!$F$2:$F$992,"&lt;"&amp;$A99+1,检修计划!$G$2:$G$992,"&gt;"&amp;$A99,检修计划!$H$2:$H$992,1)</f>
        <v/>
      </c>
      <c r="C99" s="5">
        <f>COUNTIFS(检修计划!$E$2:$E$992,"2",检修计划!$F$2:$F$992,"&lt;"&amp;$A99+1,检修计划!$G$2:$G$992,"&gt;"&amp;$A99,检修计划!$H$2:$H$992,1)</f>
        <v/>
      </c>
      <c r="D99" s="5">
        <f>COUNTIFS(检修计划!$E$2:$E$992,"3",检修计划!$F$2:$F$992,"&lt;"&amp;$A99+1,检修计划!$G$2:$G$992,"&gt;"&amp;$A99,检修计划!$H$2:$H$992,1)</f>
        <v/>
      </c>
      <c r="E99" s="5">
        <f>COUNTIFS(检修计划!$E$2:$E$992,"4",检修计划!$F$2:$F$992,"&lt;"&amp;$A99+1,检修计划!$G$2:$G$992,"&gt;"&amp;$A99,检修计划!$H$2:$H$992,1)</f>
        <v/>
      </c>
      <c r="F99" s="5">
        <f>COUNTIFS(检修计划!$E$2:$E$992,"5",检修计划!$F$2:$F$992,"&lt;"&amp;$A99+1,检修计划!$G$2:$G$992,"&gt;"&amp;$A99,检修计划!$H$2:$H$992,1)</f>
        <v/>
      </c>
    </row>
    <row r="100" ht="23" customHeight="1">
      <c r="A100" s="9" t="n">
        <v>45025</v>
      </c>
      <c r="B100" s="5">
        <f>COUNTIFS(检修计划!$E$2:$E$992,"1",检修计划!$F$2:$F$992,"&lt;"&amp;$A100+1,检修计划!$G$2:$G$992,"&gt;"&amp;$A100,检修计划!$H$2:$H$992,1)</f>
        <v/>
      </c>
      <c r="C100" s="5">
        <f>COUNTIFS(检修计划!$E$2:$E$992,"2",检修计划!$F$2:$F$992,"&lt;"&amp;$A100+1,检修计划!$G$2:$G$992,"&gt;"&amp;$A100,检修计划!$H$2:$H$992,1)</f>
        <v/>
      </c>
      <c r="D100" s="5">
        <f>COUNTIFS(检修计划!$E$2:$E$992,"3",检修计划!$F$2:$F$992,"&lt;"&amp;$A100+1,检修计划!$G$2:$G$992,"&gt;"&amp;$A100,检修计划!$H$2:$H$992,1)</f>
        <v/>
      </c>
      <c r="E100" s="5">
        <f>COUNTIFS(检修计划!$E$2:$E$992,"4",检修计划!$F$2:$F$992,"&lt;"&amp;$A100+1,检修计划!$G$2:$G$992,"&gt;"&amp;$A100,检修计划!$H$2:$H$992,1)</f>
        <v/>
      </c>
      <c r="F100" s="5">
        <f>COUNTIFS(检修计划!$E$2:$E$992,"5",检修计划!$F$2:$F$992,"&lt;"&amp;$A100+1,检修计划!$G$2:$G$992,"&gt;"&amp;$A100,检修计划!$H$2:$H$992,1)</f>
        <v/>
      </c>
    </row>
    <row r="101" ht="23" customHeight="1">
      <c r="A101" s="9" t="n">
        <v>45026</v>
      </c>
      <c r="B101" s="5">
        <f>COUNTIFS(检修计划!$E$2:$E$992,"1",检修计划!$F$2:$F$992,"&lt;"&amp;$A101+1,检修计划!$G$2:$G$992,"&gt;"&amp;$A101,检修计划!$H$2:$H$992,1)</f>
        <v/>
      </c>
      <c r="C101" s="5">
        <f>COUNTIFS(检修计划!$E$2:$E$992,"2",检修计划!$F$2:$F$992,"&lt;"&amp;$A101+1,检修计划!$G$2:$G$992,"&gt;"&amp;$A101,检修计划!$H$2:$H$992,1)</f>
        <v/>
      </c>
      <c r="D101" s="5">
        <f>COUNTIFS(检修计划!$E$2:$E$992,"3",检修计划!$F$2:$F$992,"&lt;"&amp;$A101+1,检修计划!$G$2:$G$992,"&gt;"&amp;$A101,检修计划!$H$2:$H$992,1)</f>
        <v/>
      </c>
      <c r="E101" s="5">
        <f>COUNTIFS(检修计划!$E$2:$E$992,"4",检修计划!$F$2:$F$992,"&lt;"&amp;$A101+1,检修计划!$G$2:$G$992,"&gt;"&amp;$A101,检修计划!$H$2:$H$992,1)</f>
        <v/>
      </c>
      <c r="F101" s="5">
        <f>COUNTIFS(检修计划!$E$2:$E$992,"5",检修计划!$F$2:$F$992,"&lt;"&amp;$A101+1,检修计划!$G$2:$G$992,"&gt;"&amp;$A101,检修计划!$H$2:$H$992,1)</f>
        <v/>
      </c>
    </row>
    <row r="102" ht="23" customHeight="1">
      <c r="A102" s="9" t="n">
        <v>45027</v>
      </c>
      <c r="B102" s="5">
        <f>COUNTIFS(检修计划!$E$2:$E$992,"1",检修计划!$F$2:$F$992,"&lt;"&amp;$A102+1,检修计划!$G$2:$G$992,"&gt;"&amp;$A102,检修计划!$H$2:$H$992,1)</f>
        <v/>
      </c>
      <c r="C102" s="5">
        <f>COUNTIFS(检修计划!$E$2:$E$992,"2",检修计划!$F$2:$F$992,"&lt;"&amp;$A102+1,检修计划!$G$2:$G$992,"&gt;"&amp;$A102,检修计划!$H$2:$H$992,1)</f>
        <v/>
      </c>
      <c r="D102" s="5">
        <f>COUNTIFS(检修计划!$E$2:$E$992,"3",检修计划!$F$2:$F$992,"&lt;"&amp;$A102+1,检修计划!$G$2:$G$992,"&gt;"&amp;$A102,检修计划!$H$2:$H$992,1)</f>
        <v/>
      </c>
      <c r="E102" s="5">
        <f>COUNTIFS(检修计划!$E$2:$E$992,"4",检修计划!$F$2:$F$992,"&lt;"&amp;$A102+1,检修计划!$G$2:$G$992,"&gt;"&amp;$A102,检修计划!$H$2:$H$992,1)</f>
        <v/>
      </c>
      <c r="F102" s="5">
        <f>COUNTIFS(检修计划!$E$2:$E$992,"5",检修计划!$F$2:$F$992,"&lt;"&amp;$A102+1,检修计划!$G$2:$G$992,"&gt;"&amp;$A102,检修计划!$H$2:$H$992,1)</f>
        <v/>
      </c>
    </row>
    <row r="103" ht="23" customHeight="1">
      <c r="A103" s="9" t="n">
        <v>45028</v>
      </c>
      <c r="B103" s="5">
        <f>COUNTIFS(检修计划!$E$2:$E$992,"1",检修计划!$F$2:$F$992,"&lt;"&amp;$A103+1,检修计划!$G$2:$G$992,"&gt;"&amp;$A103,检修计划!$H$2:$H$992,1)</f>
        <v/>
      </c>
      <c r="C103" s="5">
        <f>COUNTIFS(检修计划!$E$2:$E$992,"2",检修计划!$F$2:$F$992,"&lt;"&amp;$A103+1,检修计划!$G$2:$G$992,"&gt;"&amp;$A103,检修计划!$H$2:$H$992,1)</f>
        <v/>
      </c>
      <c r="D103" s="5">
        <f>COUNTIFS(检修计划!$E$2:$E$992,"3",检修计划!$F$2:$F$992,"&lt;"&amp;$A103+1,检修计划!$G$2:$G$992,"&gt;"&amp;$A103,检修计划!$H$2:$H$992,1)</f>
        <v/>
      </c>
      <c r="E103" s="5">
        <f>COUNTIFS(检修计划!$E$2:$E$992,"4",检修计划!$F$2:$F$992,"&lt;"&amp;$A103+1,检修计划!$G$2:$G$992,"&gt;"&amp;$A103,检修计划!$H$2:$H$992,1)</f>
        <v/>
      </c>
      <c r="F103" s="5">
        <f>COUNTIFS(检修计划!$E$2:$E$992,"5",检修计划!$F$2:$F$992,"&lt;"&amp;$A103+1,检修计划!$G$2:$G$992,"&gt;"&amp;$A103,检修计划!$H$2:$H$992,1)</f>
        <v/>
      </c>
    </row>
    <row r="104" ht="23" customHeight="1">
      <c r="A104" s="9" t="n">
        <v>45029</v>
      </c>
      <c r="B104" s="5">
        <f>COUNTIFS(检修计划!$E$2:$E$992,"1",检修计划!$F$2:$F$992,"&lt;"&amp;$A104+1,检修计划!$G$2:$G$992,"&gt;"&amp;$A104,检修计划!$H$2:$H$992,1)</f>
        <v/>
      </c>
      <c r="C104" s="5">
        <f>COUNTIFS(检修计划!$E$2:$E$992,"2",检修计划!$F$2:$F$992,"&lt;"&amp;$A104+1,检修计划!$G$2:$G$992,"&gt;"&amp;$A104,检修计划!$H$2:$H$992,1)</f>
        <v/>
      </c>
      <c r="D104" s="5">
        <f>COUNTIFS(检修计划!$E$2:$E$992,"3",检修计划!$F$2:$F$992,"&lt;"&amp;$A104+1,检修计划!$G$2:$G$992,"&gt;"&amp;$A104,检修计划!$H$2:$H$992,1)</f>
        <v/>
      </c>
      <c r="E104" s="5">
        <f>COUNTIFS(检修计划!$E$2:$E$992,"4",检修计划!$F$2:$F$992,"&lt;"&amp;$A104+1,检修计划!$G$2:$G$992,"&gt;"&amp;$A104,检修计划!$H$2:$H$992,1)</f>
        <v/>
      </c>
      <c r="F104" s="5">
        <f>COUNTIFS(检修计划!$E$2:$E$992,"5",检修计划!$F$2:$F$992,"&lt;"&amp;$A104+1,检修计划!$G$2:$G$992,"&gt;"&amp;$A104,检修计划!$H$2:$H$992,1)</f>
        <v/>
      </c>
    </row>
    <row r="105" ht="23" customHeight="1">
      <c r="A105" s="9" t="n">
        <v>45030</v>
      </c>
      <c r="B105" s="5">
        <f>COUNTIFS(检修计划!$E$2:$E$992,"1",检修计划!$F$2:$F$992,"&lt;"&amp;$A105+1,检修计划!$G$2:$G$992,"&gt;"&amp;$A105,检修计划!$H$2:$H$992,1)</f>
        <v/>
      </c>
      <c r="C105" s="5">
        <f>COUNTIFS(检修计划!$E$2:$E$992,"2",检修计划!$F$2:$F$992,"&lt;"&amp;$A105+1,检修计划!$G$2:$G$992,"&gt;"&amp;$A105,检修计划!$H$2:$H$992,1)</f>
        <v/>
      </c>
      <c r="D105" s="5">
        <f>COUNTIFS(检修计划!$E$2:$E$992,"3",检修计划!$F$2:$F$992,"&lt;"&amp;$A105+1,检修计划!$G$2:$G$992,"&gt;"&amp;$A105,检修计划!$H$2:$H$992,1)</f>
        <v/>
      </c>
      <c r="E105" s="5">
        <f>COUNTIFS(检修计划!$E$2:$E$992,"4",检修计划!$F$2:$F$992,"&lt;"&amp;$A105+1,检修计划!$G$2:$G$992,"&gt;"&amp;$A105,检修计划!$H$2:$H$992,1)</f>
        <v/>
      </c>
      <c r="F105" s="5">
        <f>COUNTIFS(检修计划!$E$2:$E$992,"5",检修计划!$F$2:$F$992,"&lt;"&amp;$A105+1,检修计划!$G$2:$G$992,"&gt;"&amp;$A105,检修计划!$H$2:$H$992,1)</f>
        <v/>
      </c>
    </row>
    <row r="106" ht="23" customHeight="1">
      <c r="A106" s="9" t="n">
        <v>45031</v>
      </c>
      <c r="B106" s="5">
        <f>COUNTIFS(检修计划!$E$2:$E$992,"1",检修计划!$F$2:$F$992,"&lt;"&amp;$A106+1,检修计划!$G$2:$G$992,"&gt;"&amp;$A106,检修计划!$H$2:$H$992,1)</f>
        <v/>
      </c>
      <c r="C106" s="5">
        <f>COUNTIFS(检修计划!$E$2:$E$992,"2",检修计划!$F$2:$F$992,"&lt;"&amp;$A106+1,检修计划!$G$2:$G$992,"&gt;"&amp;$A106,检修计划!$H$2:$H$992,1)</f>
        <v/>
      </c>
      <c r="D106" s="5">
        <f>COUNTIFS(检修计划!$E$2:$E$992,"3",检修计划!$F$2:$F$992,"&lt;"&amp;$A106+1,检修计划!$G$2:$G$992,"&gt;"&amp;$A106,检修计划!$H$2:$H$992,1)</f>
        <v/>
      </c>
      <c r="E106" s="5">
        <f>COUNTIFS(检修计划!$E$2:$E$992,"4",检修计划!$F$2:$F$992,"&lt;"&amp;$A106+1,检修计划!$G$2:$G$992,"&gt;"&amp;$A106,检修计划!$H$2:$H$992,1)</f>
        <v/>
      </c>
      <c r="F106" s="5">
        <f>COUNTIFS(检修计划!$E$2:$E$992,"5",检修计划!$F$2:$F$992,"&lt;"&amp;$A106+1,检修计划!$G$2:$G$992,"&gt;"&amp;$A106,检修计划!$H$2:$H$992,1)</f>
        <v/>
      </c>
    </row>
    <row r="107" ht="23" customHeight="1">
      <c r="A107" s="9" t="n">
        <v>45032</v>
      </c>
      <c r="B107" s="5">
        <f>COUNTIFS(检修计划!$E$2:$E$992,"1",检修计划!$F$2:$F$992,"&lt;"&amp;$A107+1,检修计划!$G$2:$G$992,"&gt;"&amp;$A107,检修计划!$H$2:$H$992,1)</f>
        <v/>
      </c>
      <c r="C107" s="5">
        <f>COUNTIFS(检修计划!$E$2:$E$992,"2",检修计划!$F$2:$F$992,"&lt;"&amp;$A107+1,检修计划!$G$2:$G$992,"&gt;"&amp;$A107,检修计划!$H$2:$H$992,1)</f>
        <v/>
      </c>
      <c r="D107" s="5">
        <f>COUNTIFS(检修计划!$E$2:$E$992,"3",检修计划!$F$2:$F$992,"&lt;"&amp;$A107+1,检修计划!$G$2:$G$992,"&gt;"&amp;$A107,检修计划!$H$2:$H$992,1)</f>
        <v/>
      </c>
      <c r="E107" s="5">
        <f>COUNTIFS(检修计划!$E$2:$E$992,"4",检修计划!$F$2:$F$992,"&lt;"&amp;$A107+1,检修计划!$G$2:$G$992,"&gt;"&amp;$A107,检修计划!$H$2:$H$992,1)</f>
        <v/>
      </c>
      <c r="F107" s="5">
        <f>COUNTIFS(检修计划!$E$2:$E$992,"5",检修计划!$F$2:$F$992,"&lt;"&amp;$A107+1,检修计划!$G$2:$G$992,"&gt;"&amp;$A107,检修计划!$H$2:$H$992,1)</f>
        <v/>
      </c>
    </row>
    <row r="108" ht="23" customHeight="1">
      <c r="A108" s="9" t="n">
        <v>45033</v>
      </c>
      <c r="B108" s="5">
        <f>COUNTIFS(检修计划!$E$2:$E$992,"1",检修计划!$F$2:$F$992,"&lt;"&amp;$A108+1,检修计划!$G$2:$G$992,"&gt;"&amp;$A108,检修计划!$H$2:$H$992,1)</f>
        <v/>
      </c>
      <c r="C108" s="5">
        <f>COUNTIFS(检修计划!$E$2:$E$992,"2",检修计划!$F$2:$F$992,"&lt;"&amp;$A108+1,检修计划!$G$2:$G$992,"&gt;"&amp;$A108,检修计划!$H$2:$H$992,1)</f>
        <v/>
      </c>
      <c r="D108" s="5">
        <f>COUNTIFS(检修计划!$E$2:$E$992,"3",检修计划!$F$2:$F$992,"&lt;"&amp;$A108+1,检修计划!$G$2:$G$992,"&gt;"&amp;$A108,检修计划!$H$2:$H$992,1)</f>
        <v/>
      </c>
      <c r="E108" s="5">
        <f>COUNTIFS(检修计划!$E$2:$E$992,"4",检修计划!$F$2:$F$992,"&lt;"&amp;$A108+1,检修计划!$G$2:$G$992,"&gt;"&amp;$A108,检修计划!$H$2:$H$992,1)</f>
        <v/>
      </c>
      <c r="F108" s="5">
        <f>COUNTIFS(检修计划!$E$2:$E$992,"5",检修计划!$F$2:$F$992,"&lt;"&amp;$A108+1,检修计划!$G$2:$G$992,"&gt;"&amp;$A108,检修计划!$H$2:$H$992,1)</f>
        <v/>
      </c>
    </row>
    <row r="109" ht="23" customHeight="1">
      <c r="A109" s="9" t="n">
        <v>45034</v>
      </c>
      <c r="B109" s="5">
        <f>COUNTIFS(检修计划!$E$2:$E$992,"1",检修计划!$F$2:$F$992,"&lt;"&amp;$A109+1,检修计划!$G$2:$G$992,"&gt;"&amp;$A109,检修计划!$H$2:$H$992,1)</f>
        <v/>
      </c>
      <c r="C109" s="5">
        <f>COUNTIFS(检修计划!$E$2:$E$992,"2",检修计划!$F$2:$F$992,"&lt;"&amp;$A109+1,检修计划!$G$2:$G$992,"&gt;"&amp;$A109,检修计划!$H$2:$H$992,1)</f>
        <v/>
      </c>
      <c r="D109" s="5">
        <f>COUNTIFS(检修计划!$E$2:$E$992,"3",检修计划!$F$2:$F$992,"&lt;"&amp;$A109+1,检修计划!$G$2:$G$992,"&gt;"&amp;$A109,检修计划!$H$2:$H$992,1)</f>
        <v/>
      </c>
      <c r="E109" s="5">
        <f>COUNTIFS(检修计划!$E$2:$E$992,"4",检修计划!$F$2:$F$992,"&lt;"&amp;$A109+1,检修计划!$G$2:$G$992,"&gt;"&amp;$A109,检修计划!$H$2:$H$992,1)</f>
        <v/>
      </c>
      <c r="F109" s="5">
        <f>COUNTIFS(检修计划!$E$2:$E$992,"5",检修计划!$F$2:$F$992,"&lt;"&amp;$A109+1,检修计划!$G$2:$G$992,"&gt;"&amp;$A109,检修计划!$H$2:$H$992,1)</f>
        <v/>
      </c>
    </row>
    <row r="110" ht="23" customHeight="1">
      <c r="A110" s="9" t="n">
        <v>45035</v>
      </c>
      <c r="B110" s="5">
        <f>COUNTIFS(检修计划!$E$2:$E$992,"1",检修计划!$F$2:$F$992,"&lt;"&amp;$A110+1,检修计划!$G$2:$G$992,"&gt;"&amp;$A110,检修计划!$H$2:$H$992,1)</f>
        <v/>
      </c>
      <c r="C110" s="5">
        <f>COUNTIFS(检修计划!$E$2:$E$992,"2",检修计划!$F$2:$F$992,"&lt;"&amp;$A110+1,检修计划!$G$2:$G$992,"&gt;"&amp;$A110,检修计划!$H$2:$H$992,1)</f>
        <v/>
      </c>
      <c r="D110" s="5">
        <f>COUNTIFS(检修计划!$E$2:$E$992,"3",检修计划!$F$2:$F$992,"&lt;"&amp;$A110+1,检修计划!$G$2:$G$992,"&gt;"&amp;$A110,检修计划!$H$2:$H$992,1)</f>
        <v/>
      </c>
      <c r="E110" s="5">
        <f>COUNTIFS(检修计划!$E$2:$E$992,"4",检修计划!$F$2:$F$992,"&lt;"&amp;$A110+1,检修计划!$G$2:$G$992,"&gt;"&amp;$A110,检修计划!$H$2:$H$992,1)</f>
        <v/>
      </c>
      <c r="F110" s="5">
        <f>COUNTIFS(检修计划!$E$2:$E$992,"5",检修计划!$F$2:$F$992,"&lt;"&amp;$A110+1,检修计划!$G$2:$G$992,"&gt;"&amp;$A110,检修计划!$H$2:$H$992,1)</f>
        <v/>
      </c>
    </row>
    <row r="111" ht="23" customHeight="1">
      <c r="A111" s="9" t="n">
        <v>45036</v>
      </c>
      <c r="B111" s="5">
        <f>COUNTIFS(检修计划!$E$2:$E$992,"1",检修计划!$F$2:$F$992,"&lt;"&amp;$A111+1,检修计划!$G$2:$G$992,"&gt;"&amp;$A111,检修计划!$H$2:$H$992,1)</f>
        <v/>
      </c>
      <c r="C111" s="5">
        <f>COUNTIFS(检修计划!$E$2:$E$992,"2",检修计划!$F$2:$F$992,"&lt;"&amp;$A111+1,检修计划!$G$2:$G$992,"&gt;"&amp;$A111,检修计划!$H$2:$H$992,1)</f>
        <v/>
      </c>
      <c r="D111" s="5">
        <f>COUNTIFS(检修计划!$E$2:$E$992,"3",检修计划!$F$2:$F$992,"&lt;"&amp;$A111+1,检修计划!$G$2:$G$992,"&gt;"&amp;$A111,检修计划!$H$2:$H$992,1)</f>
        <v/>
      </c>
      <c r="E111" s="5">
        <f>COUNTIFS(检修计划!$E$2:$E$992,"4",检修计划!$F$2:$F$992,"&lt;"&amp;$A111+1,检修计划!$G$2:$G$992,"&gt;"&amp;$A111,检修计划!$H$2:$H$992,1)</f>
        <v/>
      </c>
      <c r="F111" s="5">
        <f>COUNTIFS(检修计划!$E$2:$E$992,"5",检修计划!$F$2:$F$992,"&lt;"&amp;$A111+1,检修计划!$G$2:$G$992,"&gt;"&amp;$A111,检修计划!$H$2:$H$992,1)</f>
        <v/>
      </c>
    </row>
    <row r="112" ht="23" customHeight="1">
      <c r="A112" s="9" t="n">
        <v>45037</v>
      </c>
      <c r="B112" s="5">
        <f>COUNTIFS(检修计划!$E$2:$E$992,"1",检修计划!$F$2:$F$992,"&lt;"&amp;$A112+1,检修计划!$G$2:$G$992,"&gt;"&amp;$A112,检修计划!$H$2:$H$992,1)</f>
        <v/>
      </c>
      <c r="C112" s="5">
        <f>COUNTIFS(检修计划!$E$2:$E$992,"2",检修计划!$F$2:$F$992,"&lt;"&amp;$A112+1,检修计划!$G$2:$G$992,"&gt;"&amp;$A112,检修计划!$H$2:$H$992,1)</f>
        <v/>
      </c>
      <c r="D112" s="5">
        <f>COUNTIFS(检修计划!$E$2:$E$992,"3",检修计划!$F$2:$F$992,"&lt;"&amp;$A112+1,检修计划!$G$2:$G$992,"&gt;"&amp;$A112,检修计划!$H$2:$H$992,1)</f>
        <v/>
      </c>
      <c r="E112" s="5">
        <f>COUNTIFS(检修计划!$E$2:$E$992,"4",检修计划!$F$2:$F$992,"&lt;"&amp;$A112+1,检修计划!$G$2:$G$992,"&gt;"&amp;$A112,检修计划!$H$2:$H$992,1)</f>
        <v/>
      </c>
      <c r="F112" s="5">
        <f>COUNTIFS(检修计划!$E$2:$E$992,"5",检修计划!$F$2:$F$992,"&lt;"&amp;$A112+1,检修计划!$G$2:$G$992,"&gt;"&amp;$A112,检修计划!$H$2:$H$992,1)</f>
        <v/>
      </c>
    </row>
    <row r="113" ht="23" customHeight="1">
      <c r="A113" s="9" t="n">
        <v>45038</v>
      </c>
      <c r="B113" s="5">
        <f>COUNTIFS(检修计划!$E$2:$E$992,"1",检修计划!$F$2:$F$992,"&lt;"&amp;$A113+1,检修计划!$G$2:$G$992,"&gt;"&amp;$A113,检修计划!$H$2:$H$992,1)</f>
        <v/>
      </c>
      <c r="C113" s="5">
        <f>COUNTIFS(检修计划!$E$2:$E$992,"2",检修计划!$F$2:$F$992,"&lt;"&amp;$A113+1,检修计划!$G$2:$G$992,"&gt;"&amp;$A113,检修计划!$H$2:$H$992,1)</f>
        <v/>
      </c>
      <c r="D113" s="5">
        <f>COUNTIFS(检修计划!$E$2:$E$992,"3",检修计划!$F$2:$F$992,"&lt;"&amp;$A113+1,检修计划!$G$2:$G$992,"&gt;"&amp;$A113,检修计划!$H$2:$H$992,1)</f>
        <v/>
      </c>
      <c r="E113" s="5">
        <f>COUNTIFS(检修计划!$E$2:$E$992,"4",检修计划!$F$2:$F$992,"&lt;"&amp;$A113+1,检修计划!$G$2:$G$992,"&gt;"&amp;$A113,检修计划!$H$2:$H$992,1)</f>
        <v/>
      </c>
      <c r="F113" s="5">
        <f>COUNTIFS(检修计划!$E$2:$E$992,"5",检修计划!$F$2:$F$992,"&lt;"&amp;$A113+1,检修计划!$G$2:$G$992,"&gt;"&amp;$A113,检修计划!$H$2:$H$992,1)</f>
        <v/>
      </c>
    </row>
    <row r="114" ht="23" customHeight="1">
      <c r="A114" s="9" t="n">
        <v>45039</v>
      </c>
      <c r="B114" s="5">
        <f>COUNTIFS(检修计划!$E$2:$E$992,"1",检修计划!$F$2:$F$992,"&lt;"&amp;$A114+1,检修计划!$G$2:$G$992,"&gt;"&amp;$A114,检修计划!$H$2:$H$992,1)</f>
        <v/>
      </c>
      <c r="C114" s="5">
        <f>COUNTIFS(检修计划!$E$2:$E$992,"2",检修计划!$F$2:$F$992,"&lt;"&amp;$A114+1,检修计划!$G$2:$G$992,"&gt;"&amp;$A114,检修计划!$H$2:$H$992,1)</f>
        <v/>
      </c>
      <c r="D114" s="5">
        <f>COUNTIFS(检修计划!$E$2:$E$992,"3",检修计划!$F$2:$F$992,"&lt;"&amp;$A114+1,检修计划!$G$2:$G$992,"&gt;"&amp;$A114,检修计划!$H$2:$H$992,1)</f>
        <v/>
      </c>
      <c r="E114" s="5">
        <f>COUNTIFS(检修计划!$E$2:$E$992,"4",检修计划!$F$2:$F$992,"&lt;"&amp;$A114+1,检修计划!$G$2:$G$992,"&gt;"&amp;$A114,检修计划!$H$2:$H$992,1)</f>
        <v/>
      </c>
      <c r="F114" s="5">
        <f>COUNTIFS(检修计划!$E$2:$E$992,"5",检修计划!$F$2:$F$992,"&lt;"&amp;$A114+1,检修计划!$G$2:$G$992,"&gt;"&amp;$A114,检修计划!$H$2:$H$992,1)</f>
        <v/>
      </c>
    </row>
    <row r="115" ht="23" customHeight="1">
      <c r="A115" s="9" t="n">
        <v>45040</v>
      </c>
      <c r="B115" s="5">
        <f>COUNTIFS(检修计划!$E$2:$E$992,"1",检修计划!$F$2:$F$992,"&lt;"&amp;$A115+1,检修计划!$G$2:$G$992,"&gt;"&amp;$A115,检修计划!$H$2:$H$992,1)</f>
        <v/>
      </c>
      <c r="C115" s="5">
        <f>COUNTIFS(检修计划!$E$2:$E$992,"2",检修计划!$F$2:$F$992,"&lt;"&amp;$A115+1,检修计划!$G$2:$G$992,"&gt;"&amp;$A115,检修计划!$H$2:$H$992,1)</f>
        <v/>
      </c>
      <c r="D115" s="5">
        <f>COUNTIFS(检修计划!$E$2:$E$992,"3",检修计划!$F$2:$F$992,"&lt;"&amp;$A115+1,检修计划!$G$2:$G$992,"&gt;"&amp;$A115,检修计划!$H$2:$H$992,1)</f>
        <v/>
      </c>
      <c r="E115" s="5">
        <f>COUNTIFS(检修计划!$E$2:$E$992,"4",检修计划!$F$2:$F$992,"&lt;"&amp;$A115+1,检修计划!$G$2:$G$992,"&gt;"&amp;$A115,检修计划!$H$2:$H$992,1)</f>
        <v/>
      </c>
      <c r="F115" s="5">
        <f>COUNTIFS(检修计划!$E$2:$E$992,"5",检修计划!$F$2:$F$992,"&lt;"&amp;$A115+1,检修计划!$G$2:$G$992,"&gt;"&amp;$A115,检修计划!$H$2:$H$992,1)</f>
        <v/>
      </c>
    </row>
    <row r="116" ht="23" customHeight="1">
      <c r="A116" s="9" t="n">
        <v>45041</v>
      </c>
      <c r="B116" s="5">
        <f>COUNTIFS(检修计划!$E$2:$E$992,"1",检修计划!$F$2:$F$992,"&lt;"&amp;$A116+1,检修计划!$G$2:$G$992,"&gt;"&amp;$A116,检修计划!$H$2:$H$992,1)</f>
        <v/>
      </c>
      <c r="C116" s="5">
        <f>COUNTIFS(检修计划!$E$2:$E$992,"2",检修计划!$F$2:$F$992,"&lt;"&amp;$A116+1,检修计划!$G$2:$G$992,"&gt;"&amp;$A116,检修计划!$H$2:$H$992,1)</f>
        <v/>
      </c>
      <c r="D116" s="5">
        <f>COUNTIFS(检修计划!$E$2:$E$992,"3",检修计划!$F$2:$F$992,"&lt;"&amp;$A116+1,检修计划!$G$2:$G$992,"&gt;"&amp;$A116,检修计划!$H$2:$H$992,1)</f>
        <v/>
      </c>
      <c r="E116" s="5">
        <f>COUNTIFS(检修计划!$E$2:$E$992,"4",检修计划!$F$2:$F$992,"&lt;"&amp;$A116+1,检修计划!$G$2:$G$992,"&gt;"&amp;$A116,检修计划!$H$2:$H$992,1)</f>
        <v/>
      </c>
      <c r="F116" s="5">
        <f>COUNTIFS(检修计划!$E$2:$E$992,"5",检修计划!$F$2:$F$992,"&lt;"&amp;$A116+1,检修计划!$G$2:$G$992,"&gt;"&amp;$A116,检修计划!$H$2:$H$992,1)</f>
        <v/>
      </c>
    </row>
    <row r="117" ht="23" customHeight="1">
      <c r="A117" s="9" t="n">
        <v>45042</v>
      </c>
      <c r="B117" s="5">
        <f>COUNTIFS(检修计划!$E$2:$E$992,"1",检修计划!$F$2:$F$992,"&lt;"&amp;$A117+1,检修计划!$G$2:$G$992,"&gt;"&amp;$A117,检修计划!$H$2:$H$992,1)</f>
        <v/>
      </c>
      <c r="C117" s="5">
        <f>COUNTIFS(检修计划!$E$2:$E$992,"2",检修计划!$F$2:$F$992,"&lt;"&amp;$A117+1,检修计划!$G$2:$G$992,"&gt;"&amp;$A117,检修计划!$H$2:$H$992,1)</f>
        <v/>
      </c>
      <c r="D117" s="5">
        <f>COUNTIFS(检修计划!$E$2:$E$992,"3",检修计划!$F$2:$F$992,"&lt;"&amp;$A117+1,检修计划!$G$2:$G$992,"&gt;"&amp;$A117,检修计划!$H$2:$H$992,1)</f>
        <v/>
      </c>
      <c r="E117" s="5">
        <f>COUNTIFS(检修计划!$E$2:$E$992,"4",检修计划!$F$2:$F$992,"&lt;"&amp;$A117+1,检修计划!$G$2:$G$992,"&gt;"&amp;$A117,检修计划!$H$2:$H$992,1)</f>
        <v/>
      </c>
      <c r="F117" s="5">
        <f>COUNTIFS(检修计划!$E$2:$E$992,"5",检修计划!$F$2:$F$992,"&lt;"&amp;$A117+1,检修计划!$G$2:$G$992,"&gt;"&amp;$A117,检修计划!$H$2:$H$992,1)</f>
        <v/>
      </c>
    </row>
    <row r="118" ht="23" customHeight="1">
      <c r="A118" s="9" t="n">
        <v>45043</v>
      </c>
      <c r="B118" s="5">
        <f>COUNTIFS(检修计划!$E$2:$E$992,"1",检修计划!$F$2:$F$992,"&lt;"&amp;$A118+1,检修计划!$G$2:$G$992,"&gt;"&amp;$A118,检修计划!$H$2:$H$992,1)</f>
        <v/>
      </c>
      <c r="C118" s="5">
        <f>COUNTIFS(检修计划!$E$2:$E$992,"2",检修计划!$F$2:$F$992,"&lt;"&amp;$A118+1,检修计划!$G$2:$G$992,"&gt;"&amp;$A118,检修计划!$H$2:$H$992,1)</f>
        <v/>
      </c>
      <c r="D118" s="5">
        <f>COUNTIFS(检修计划!$E$2:$E$992,"3",检修计划!$F$2:$F$992,"&lt;"&amp;$A118+1,检修计划!$G$2:$G$992,"&gt;"&amp;$A118,检修计划!$H$2:$H$992,1)</f>
        <v/>
      </c>
      <c r="E118" s="5">
        <f>COUNTIFS(检修计划!$E$2:$E$992,"4",检修计划!$F$2:$F$992,"&lt;"&amp;$A118+1,检修计划!$G$2:$G$992,"&gt;"&amp;$A118,检修计划!$H$2:$H$992,1)</f>
        <v/>
      </c>
      <c r="F118" s="5">
        <f>COUNTIFS(检修计划!$E$2:$E$992,"5",检修计划!$F$2:$F$992,"&lt;"&amp;$A118+1,检修计划!$G$2:$G$992,"&gt;"&amp;$A118,检修计划!$H$2:$H$992,1)</f>
        <v/>
      </c>
    </row>
    <row r="119" ht="23" customHeight="1">
      <c r="A119" s="9" t="n">
        <v>45044</v>
      </c>
      <c r="B119" s="5">
        <f>COUNTIFS(检修计划!$E$2:$E$992,"1",检修计划!$F$2:$F$992,"&lt;"&amp;$A119+1,检修计划!$G$2:$G$992,"&gt;"&amp;$A119,检修计划!$H$2:$H$992,1)</f>
        <v/>
      </c>
      <c r="C119" s="5">
        <f>COUNTIFS(检修计划!$E$2:$E$992,"2",检修计划!$F$2:$F$992,"&lt;"&amp;$A119+1,检修计划!$G$2:$G$992,"&gt;"&amp;$A119,检修计划!$H$2:$H$992,1)</f>
        <v/>
      </c>
      <c r="D119" s="5">
        <f>COUNTIFS(检修计划!$E$2:$E$992,"3",检修计划!$F$2:$F$992,"&lt;"&amp;$A119+1,检修计划!$G$2:$G$992,"&gt;"&amp;$A119,检修计划!$H$2:$H$992,1)</f>
        <v/>
      </c>
      <c r="E119" s="5">
        <f>COUNTIFS(检修计划!$E$2:$E$992,"4",检修计划!$F$2:$F$992,"&lt;"&amp;$A119+1,检修计划!$G$2:$G$992,"&gt;"&amp;$A119,检修计划!$H$2:$H$992,1)</f>
        <v/>
      </c>
      <c r="F119" s="5">
        <f>COUNTIFS(检修计划!$E$2:$E$992,"5",检修计划!$F$2:$F$992,"&lt;"&amp;$A119+1,检修计划!$G$2:$G$992,"&gt;"&amp;$A119,检修计划!$H$2:$H$992,1)</f>
        <v/>
      </c>
    </row>
    <row r="120" ht="23" customHeight="1">
      <c r="A120" s="9" t="n">
        <v>45045</v>
      </c>
      <c r="B120" s="5">
        <f>COUNTIFS(检修计划!$E$2:$E$992,"1",检修计划!$F$2:$F$992,"&lt;"&amp;$A120+1,检修计划!$G$2:$G$992,"&gt;"&amp;$A120,检修计划!$H$2:$H$992,1)</f>
        <v/>
      </c>
      <c r="C120" s="5">
        <f>COUNTIFS(检修计划!$E$2:$E$992,"2",检修计划!$F$2:$F$992,"&lt;"&amp;$A120+1,检修计划!$G$2:$G$992,"&gt;"&amp;$A120,检修计划!$H$2:$H$992,1)</f>
        <v/>
      </c>
      <c r="D120" s="5">
        <f>COUNTIFS(检修计划!$E$2:$E$992,"3",检修计划!$F$2:$F$992,"&lt;"&amp;$A120+1,检修计划!$G$2:$G$992,"&gt;"&amp;$A120,检修计划!$H$2:$H$992,1)</f>
        <v/>
      </c>
      <c r="E120" s="5">
        <f>COUNTIFS(检修计划!$E$2:$E$992,"4",检修计划!$F$2:$F$992,"&lt;"&amp;$A120+1,检修计划!$G$2:$G$992,"&gt;"&amp;$A120,检修计划!$H$2:$H$992,1)</f>
        <v/>
      </c>
      <c r="F120" s="5">
        <f>COUNTIFS(检修计划!$E$2:$E$992,"5",检修计划!$F$2:$F$992,"&lt;"&amp;$A120+1,检修计划!$G$2:$G$992,"&gt;"&amp;$A120,检修计划!$H$2:$H$992,1)</f>
        <v/>
      </c>
    </row>
    <row r="121" ht="23" customHeight="1">
      <c r="A121" s="9" t="n">
        <v>45046</v>
      </c>
      <c r="B121" s="5">
        <f>COUNTIFS(检修计划!$E$2:$E$992,"1",检修计划!$F$2:$F$992,"&lt;"&amp;$A121+1,检修计划!$G$2:$G$992,"&gt;"&amp;$A121,检修计划!$H$2:$H$992,1)</f>
        <v/>
      </c>
      <c r="C121" s="5">
        <f>COUNTIFS(检修计划!$E$2:$E$992,"2",检修计划!$F$2:$F$992,"&lt;"&amp;$A121+1,检修计划!$G$2:$G$992,"&gt;"&amp;$A121,检修计划!$H$2:$H$992,1)</f>
        <v/>
      </c>
      <c r="D121" s="5">
        <f>COUNTIFS(检修计划!$E$2:$E$992,"3",检修计划!$F$2:$F$992,"&lt;"&amp;$A121+1,检修计划!$G$2:$G$992,"&gt;"&amp;$A121,检修计划!$H$2:$H$992,1)</f>
        <v/>
      </c>
      <c r="E121" s="5">
        <f>COUNTIFS(检修计划!$E$2:$E$992,"4",检修计划!$F$2:$F$992,"&lt;"&amp;$A121+1,检修计划!$G$2:$G$992,"&gt;"&amp;$A121,检修计划!$H$2:$H$992,1)</f>
        <v/>
      </c>
      <c r="F121" s="5">
        <f>COUNTIFS(检修计划!$E$2:$E$992,"5",检修计划!$F$2:$F$992,"&lt;"&amp;$A121+1,检修计划!$G$2:$G$992,"&gt;"&amp;$A121,检修计划!$H$2:$H$992,1)</f>
        <v/>
      </c>
    </row>
    <row r="122" ht="23" customHeight="1">
      <c r="A122" s="9" t="n">
        <v>45047</v>
      </c>
      <c r="B122" s="5">
        <f>COUNTIFS(检修计划!$E$2:$E$992,"1",检修计划!$F$2:$F$992,"&lt;"&amp;$A122+1,检修计划!$G$2:$G$992,"&gt;"&amp;$A122,检修计划!$H$2:$H$992,1)</f>
        <v/>
      </c>
      <c r="C122" s="5">
        <f>COUNTIFS(检修计划!$E$2:$E$992,"2",检修计划!$F$2:$F$992,"&lt;"&amp;$A122+1,检修计划!$G$2:$G$992,"&gt;"&amp;$A122,检修计划!$H$2:$H$992,1)</f>
        <v/>
      </c>
      <c r="D122" s="5">
        <f>COUNTIFS(检修计划!$E$2:$E$992,"3",检修计划!$F$2:$F$992,"&lt;"&amp;$A122+1,检修计划!$G$2:$G$992,"&gt;"&amp;$A122,检修计划!$H$2:$H$992,1)</f>
        <v/>
      </c>
      <c r="E122" s="5">
        <f>COUNTIFS(检修计划!$E$2:$E$992,"4",检修计划!$F$2:$F$992,"&lt;"&amp;$A122+1,检修计划!$G$2:$G$992,"&gt;"&amp;$A122,检修计划!$H$2:$H$992,1)</f>
        <v/>
      </c>
      <c r="F122" s="5">
        <f>COUNTIFS(检修计划!$E$2:$E$992,"5",检修计划!$F$2:$F$992,"&lt;"&amp;$A122+1,检修计划!$G$2:$G$992,"&gt;"&amp;$A122,检修计划!$H$2:$H$992,1)</f>
        <v/>
      </c>
    </row>
    <row r="123" ht="23" customHeight="1">
      <c r="A123" s="9" t="n">
        <v>45048</v>
      </c>
      <c r="B123" s="5">
        <f>COUNTIFS(检修计划!$E$2:$E$992,"1",检修计划!$F$2:$F$992,"&lt;"&amp;$A123+1,检修计划!$G$2:$G$992,"&gt;"&amp;$A123,检修计划!$H$2:$H$992,1)</f>
        <v/>
      </c>
      <c r="C123" s="5">
        <f>COUNTIFS(检修计划!$E$2:$E$992,"2",检修计划!$F$2:$F$992,"&lt;"&amp;$A123+1,检修计划!$G$2:$G$992,"&gt;"&amp;$A123,检修计划!$H$2:$H$992,1)</f>
        <v/>
      </c>
      <c r="D123" s="5">
        <f>COUNTIFS(检修计划!$E$2:$E$992,"3",检修计划!$F$2:$F$992,"&lt;"&amp;$A123+1,检修计划!$G$2:$G$992,"&gt;"&amp;$A123,检修计划!$H$2:$H$992,1)</f>
        <v/>
      </c>
      <c r="E123" s="5">
        <f>COUNTIFS(检修计划!$E$2:$E$992,"4",检修计划!$F$2:$F$992,"&lt;"&amp;$A123+1,检修计划!$G$2:$G$992,"&gt;"&amp;$A123,检修计划!$H$2:$H$992,1)</f>
        <v/>
      </c>
      <c r="F123" s="5">
        <f>COUNTIFS(检修计划!$E$2:$E$992,"5",检修计划!$F$2:$F$992,"&lt;"&amp;$A123+1,检修计划!$G$2:$G$992,"&gt;"&amp;$A123,检修计划!$H$2:$H$992,1)</f>
        <v/>
      </c>
    </row>
    <row r="124" ht="23" customHeight="1">
      <c r="A124" s="9" t="n">
        <v>45049</v>
      </c>
      <c r="B124" s="5">
        <f>COUNTIFS(检修计划!$E$2:$E$992,"1",检修计划!$F$2:$F$992,"&lt;"&amp;$A124+1,检修计划!$G$2:$G$992,"&gt;"&amp;$A124,检修计划!$H$2:$H$992,1)</f>
        <v/>
      </c>
      <c r="C124" s="5">
        <f>COUNTIFS(检修计划!$E$2:$E$992,"2",检修计划!$F$2:$F$992,"&lt;"&amp;$A124+1,检修计划!$G$2:$G$992,"&gt;"&amp;$A124,检修计划!$H$2:$H$992,1)</f>
        <v/>
      </c>
      <c r="D124" s="5">
        <f>COUNTIFS(检修计划!$E$2:$E$992,"3",检修计划!$F$2:$F$992,"&lt;"&amp;$A124+1,检修计划!$G$2:$G$992,"&gt;"&amp;$A124,检修计划!$H$2:$H$992,1)</f>
        <v/>
      </c>
      <c r="E124" s="5">
        <f>COUNTIFS(检修计划!$E$2:$E$992,"4",检修计划!$F$2:$F$992,"&lt;"&amp;$A124+1,检修计划!$G$2:$G$992,"&gt;"&amp;$A124,检修计划!$H$2:$H$992,1)</f>
        <v/>
      </c>
      <c r="F124" s="5">
        <f>COUNTIFS(检修计划!$E$2:$E$992,"5",检修计划!$F$2:$F$992,"&lt;"&amp;$A124+1,检修计划!$G$2:$G$992,"&gt;"&amp;$A124,检修计划!$H$2:$H$992,1)</f>
        <v/>
      </c>
    </row>
    <row r="125" ht="23" customHeight="1">
      <c r="A125" s="9" t="n">
        <v>45050</v>
      </c>
      <c r="B125" s="5">
        <f>COUNTIFS(检修计划!$E$2:$E$992,"1",检修计划!$F$2:$F$992,"&lt;"&amp;$A125+1,检修计划!$G$2:$G$992,"&gt;"&amp;$A125,检修计划!$H$2:$H$992,1)</f>
        <v/>
      </c>
      <c r="C125" s="5">
        <f>COUNTIFS(检修计划!$E$2:$E$992,"2",检修计划!$F$2:$F$992,"&lt;"&amp;$A125+1,检修计划!$G$2:$G$992,"&gt;"&amp;$A125,检修计划!$H$2:$H$992,1)</f>
        <v/>
      </c>
      <c r="D125" s="5">
        <f>COUNTIFS(检修计划!$E$2:$E$992,"3",检修计划!$F$2:$F$992,"&lt;"&amp;$A125+1,检修计划!$G$2:$G$992,"&gt;"&amp;$A125,检修计划!$H$2:$H$992,1)</f>
        <v/>
      </c>
      <c r="E125" s="5">
        <f>COUNTIFS(检修计划!$E$2:$E$992,"4",检修计划!$F$2:$F$992,"&lt;"&amp;$A125+1,检修计划!$G$2:$G$992,"&gt;"&amp;$A125,检修计划!$H$2:$H$992,1)</f>
        <v/>
      </c>
      <c r="F125" s="5">
        <f>COUNTIFS(检修计划!$E$2:$E$992,"5",检修计划!$F$2:$F$992,"&lt;"&amp;$A125+1,检修计划!$G$2:$G$992,"&gt;"&amp;$A125,检修计划!$H$2:$H$992,1)</f>
        <v/>
      </c>
    </row>
    <row r="126" ht="23" customHeight="1">
      <c r="A126" s="9" t="n">
        <v>45051</v>
      </c>
      <c r="B126" s="5">
        <f>COUNTIFS(检修计划!$E$2:$E$992,"1",检修计划!$F$2:$F$992,"&lt;"&amp;$A126+1,检修计划!$G$2:$G$992,"&gt;"&amp;$A126,检修计划!$H$2:$H$992,1)</f>
        <v/>
      </c>
      <c r="C126" s="5">
        <f>COUNTIFS(检修计划!$E$2:$E$992,"2",检修计划!$F$2:$F$992,"&lt;"&amp;$A126+1,检修计划!$G$2:$G$992,"&gt;"&amp;$A126,检修计划!$H$2:$H$992,1)</f>
        <v/>
      </c>
      <c r="D126" s="5">
        <f>COUNTIFS(检修计划!$E$2:$E$992,"3",检修计划!$F$2:$F$992,"&lt;"&amp;$A126+1,检修计划!$G$2:$G$992,"&gt;"&amp;$A126,检修计划!$H$2:$H$992,1)</f>
        <v/>
      </c>
      <c r="E126" s="5">
        <f>COUNTIFS(检修计划!$E$2:$E$992,"4",检修计划!$F$2:$F$992,"&lt;"&amp;$A126+1,检修计划!$G$2:$G$992,"&gt;"&amp;$A126,检修计划!$H$2:$H$992,1)</f>
        <v/>
      </c>
      <c r="F126" s="5">
        <f>COUNTIFS(检修计划!$E$2:$E$992,"5",检修计划!$F$2:$F$992,"&lt;"&amp;$A126+1,检修计划!$G$2:$G$992,"&gt;"&amp;$A126,检修计划!$H$2:$H$992,1)</f>
        <v/>
      </c>
    </row>
    <row r="127" ht="23" customHeight="1">
      <c r="A127" s="9" t="n">
        <v>45052</v>
      </c>
      <c r="B127" s="5">
        <f>COUNTIFS(检修计划!$E$2:$E$992,"1",检修计划!$F$2:$F$992,"&lt;"&amp;$A127+1,检修计划!$G$2:$G$992,"&gt;"&amp;$A127,检修计划!$H$2:$H$992,1)</f>
        <v/>
      </c>
      <c r="C127" s="5">
        <f>COUNTIFS(检修计划!$E$2:$E$992,"2",检修计划!$F$2:$F$992,"&lt;"&amp;$A127+1,检修计划!$G$2:$G$992,"&gt;"&amp;$A127,检修计划!$H$2:$H$992,1)</f>
        <v/>
      </c>
      <c r="D127" s="5">
        <f>COUNTIFS(检修计划!$E$2:$E$992,"3",检修计划!$F$2:$F$992,"&lt;"&amp;$A127+1,检修计划!$G$2:$G$992,"&gt;"&amp;$A127,检修计划!$H$2:$H$992,1)</f>
        <v/>
      </c>
      <c r="E127" s="5">
        <f>COUNTIFS(检修计划!$E$2:$E$992,"4",检修计划!$F$2:$F$992,"&lt;"&amp;$A127+1,检修计划!$G$2:$G$992,"&gt;"&amp;$A127,检修计划!$H$2:$H$992,1)</f>
        <v/>
      </c>
      <c r="F127" s="5">
        <f>COUNTIFS(检修计划!$E$2:$E$992,"5",检修计划!$F$2:$F$992,"&lt;"&amp;$A127+1,检修计划!$G$2:$G$992,"&gt;"&amp;$A127,检修计划!$H$2:$H$992,1)</f>
        <v/>
      </c>
    </row>
    <row r="128" ht="23" customHeight="1">
      <c r="A128" s="9" t="n">
        <v>45053</v>
      </c>
      <c r="B128" s="5">
        <f>COUNTIFS(检修计划!$E$2:$E$992,"1",检修计划!$F$2:$F$992,"&lt;"&amp;$A128+1,检修计划!$G$2:$G$992,"&gt;"&amp;$A128,检修计划!$H$2:$H$992,1)</f>
        <v/>
      </c>
      <c r="C128" s="5">
        <f>COUNTIFS(检修计划!$E$2:$E$992,"2",检修计划!$F$2:$F$992,"&lt;"&amp;$A128+1,检修计划!$G$2:$G$992,"&gt;"&amp;$A128,检修计划!$H$2:$H$992,1)</f>
        <v/>
      </c>
      <c r="D128" s="5">
        <f>COUNTIFS(检修计划!$E$2:$E$992,"3",检修计划!$F$2:$F$992,"&lt;"&amp;$A128+1,检修计划!$G$2:$G$992,"&gt;"&amp;$A128,检修计划!$H$2:$H$992,1)</f>
        <v/>
      </c>
      <c r="E128" s="5">
        <f>COUNTIFS(检修计划!$E$2:$E$992,"4",检修计划!$F$2:$F$992,"&lt;"&amp;$A128+1,检修计划!$G$2:$G$992,"&gt;"&amp;$A128,检修计划!$H$2:$H$992,1)</f>
        <v/>
      </c>
      <c r="F128" s="5">
        <f>COUNTIFS(检修计划!$E$2:$E$992,"5",检修计划!$F$2:$F$992,"&lt;"&amp;$A128+1,检修计划!$G$2:$G$992,"&gt;"&amp;$A128,检修计划!$H$2:$H$992,1)</f>
        <v/>
      </c>
    </row>
    <row r="129" ht="23" customHeight="1">
      <c r="A129" s="9" t="n">
        <v>45054</v>
      </c>
      <c r="B129" s="5">
        <f>COUNTIFS(检修计划!$E$2:$E$992,"1",检修计划!$F$2:$F$992,"&lt;"&amp;$A129+1,检修计划!$G$2:$G$992,"&gt;"&amp;$A129,检修计划!$H$2:$H$992,1)</f>
        <v/>
      </c>
      <c r="C129" s="5">
        <f>COUNTIFS(检修计划!$E$2:$E$992,"2",检修计划!$F$2:$F$992,"&lt;"&amp;$A129+1,检修计划!$G$2:$G$992,"&gt;"&amp;$A129,检修计划!$H$2:$H$992,1)</f>
        <v/>
      </c>
      <c r="D129" s="5">
        <f>COUNTIFS(检修计划!$E$2:$E$992,"3",检修计划!$F$2:$F$992,"&lt;"&amp;$A129+1,检修计划!$G$2:$G$992,"&gt;"&amp;$A129,检修计划!$H$2:$H$992,1)</f>
        <v/>
      </c>
      <c r="E129" s="5">
        <f>COUNTIFS(检修计划!$E$2:$E$992,"4",检修计划!$F$2:$F$992,"&lt;"&amp;$A129+1,检修计划!$G$2:$G$992,"&gt;"&amp;$A129,检修计划!$H$2:$H$992,1)</f>
        <v/>
      </c>
      <c r="F129" s="5">
        <f>COUNTIFS(检修计划!$E$2:$E$992,"5",检修计划!$F$2:$F$992,"&lt;"&amp;$A129+1,检修计划!$G$2:$G$992,"&gt;"&amp;$A129,检修计划!$H$2:$H$992,1)</f>
        <v/>
      </c>
    </row>
    <row r="130" ht="23" customHeight="1">
      <c r="A130" s="9" t="n">
        <v>45055</v>
      </c>
      <c r="B130" s="5">
        <f>COUNTIFS(检修计划!$E$2:$E$992,"1",检修计划!$F$2:$F$992,"&lt;"&amp;$A130+1,检修计划!$G$2:$G$992,"&gt;"&amp;$A130,检修计划!$H$2:$H$992,1)</f>
        <v/>
      </c>
      <c r="C130" s="5">
        <f>COUNTIFS(检修计划!$E$2:$E$992,"2",检修计划!$F$2:$F$992,"&lt;"&amp;$A130+1,检修计划!$G$2:$G$992,"&gt;"&amp;$A130,检修计划!$H$2:$H$992,1)</f>
        <v/>
      </c>
      <c r="D130" s="5">
        <f>COUNTIFS(检修计划!$E$2:$E$992,"3",检修计划!$F$2:$F$992,"&lt;"&amp;$A130+1,检修计划!$G$2:$G$992,"&gt;"&amp;$A130,检修计划!$H$2:$H$992,1)</f>
        <v/>
      </c>
      <c r="E130" s="5">
        <f>COUNTIFS(检修计划!$E$2:$E$992,"4",检修计划!$F$2:$F$992,"&lt;"&amp;$A130+1,检修计划!$G$2:$G$992,"&gt;"&amp;$A130,检修计划!$H$2:$H$992,1)</f>
        <v/>
      </c>
      <c r="F130" s="5">
        <f>COUNTIFS(检修计划!$E$2:$E$992,"5",检修计划!$F$2:$F$992,"&lt;"&amp;$A130+1,检修计划!$G$2:$G$992,"&gt;"&amp;$A130,检修计划!$H$2:$H$992,1)</f>
        <v/>
      </c>
    </row>
    <row r="131" ht="23" customHeight="1">
      <c r="A131" s="9" t="n">
        <v>45056</v>
      </c>
      <c r="B131" s="5">
        <f>COUNTIFS(检修计划!$E$2:$E$992,"1",检修计划!$F$2:$F$992,"&lt;"&amp;$A131+1,检修计划!$G$2:$G$992,"&gt;"&amp;$A131,检修计划!$H$2:$H$992,1)</f>
        <v/>
      </c>
      <c r="C131" s="5">
        <f>COUNTIFS(检修计划!$E$2:$E$992,"2",检修计划!$F$2:$F$992,"&lt;"&amp;$A131+1,检修计划!$G$2:$G$992,"&gt;"&amp;$A131,检修计划!$H$2:$H$992,1)</f>
        <v/>
      </c>
      <c r="D131" s="5">
        <f>COUNTIFS(检修计划!$E$2:$E$992,"3",检修计划!$F$2:$F$992,"&lt;"&amp;$A131+1,检修计划!$G$2:$G$992,"&gt;"&amp;$A131,检修计划!$H$2:$H$992,1)</f>
        <v/>
      </c>
      <c r="E131" s="5">
        <f>COUNTIFS(检修计划!$E$2:$E$992,"4",检修计划!$F$2:$F$992,"&lt;"&amp;$A131+1,检修计划!$G$2:$G$992,"&gt;"&amp;$A131,检修计划!$H$2:$H$992,1)</f>
        <v/>
      </c>
      <c r="F131" s="5">
        <f>COUNTIFS(检修计划!$E$2:$E$992,"5",检修计划!$F$2:$F$992,"&lt;"&amp;$A131+1,检修计划!$G$2:$G$992,"&gt;"&amp;$A131,检修计划!$H$2:$H$992,1)</f>
        <v/>
      </c>
    </row>
    <row r="132" ht="23" customHeight="1">
      <c r="A132" s="9" t="n">
        <v>45057</v>
      </c>
      <c r="B132" s="5">
        <f>COUNTIFS(检修计划!$E$2:$E$992,"1",检修计划!$F$2:$F$992,"&lt;"&amp;$A132+1,检修计划!$G$2:$G$992,"&gt;"&amp;$A132,检修计划!$H$2:$H$992,1)</f>
        <v/>
      </c>
      <c r="C132" s="5">
        <f>COUNTIFS(检修计划!$E$2:$E$992,"2",检修计划!$F$2:$F$992,"&lt;"&amp;$A132+1,检修计划!$G$2:$G$992,"&gt;"&amp;$A132,检修计划!$H$2:$H$992,1)</f>
        <v/>
      </c>
      <c r="D132" s="5">
        <f>COUNTIFS(检修计划!$E$2:$E$992,"3",检修计划!$F$2:$F$992,"&lt;"&amp;$A132+1,检修计划!$G$2:$G$992,"&gt;"&amp;$A132,检修计划!$H$2:$H$992,1)</f>
        <v/>
      </c>
      <c r="E132" s="5">
        <f>COUNTIFS(检修计划!$E$2:$E$992,"4",检修计划!$F$2:$F$992,"&lt;"&amp;$A132+1,检修计划!$G$2:$G$992,"&gt;"&amp;$A132,检修计划!$H$2:$H$992,1)</f>
        <v/>
      </c>
      <c r="F132" s="5">
        <f>COUNTIFS(检修计划!$E$2:$E$992,"5",检修计划!$F$2:$F$992,"&lt;"&amp;$A132+1,检修计划!$G$2:$G$992,"&gt;"&amp;$A132,检修计划!$H$2:$H$992,1)</f>
        <v/>
      </c>
    </row>
    <row r="133" ht="23" customHeight="1">
      <c r="A133" s="9" t="n">
        <v>45058</v>
      </c>
      <c r="B133" s="5">
        <f>COUNTIFS(检修计划!$E$2:$E$992,"1",检修计划!$F$2:$F$992,"&lt;"&amp;$A133+1,检修计划!$G$2:$G$992,"&gt;"&amp;$A133,检修计划!$H$2:$H$992,1)</f>
        <v/>
      </c>
      <c r="C133" s="5">
        <f>COUNTIFS(检修计划!$E$2:$E$992,"2",检修计划!$F$2:$F$992,"&lt;"&amp;$A133+1,检修计划!$G$2:$G$992,"&gt;"&amp;$A133,检修计划!$H$2:$H$992,1)</f>
        <v/>
      </c>
      <c r="D133" s="5">
        <f>COUNTIFS(检修计划!$E$2:$E$992,"3",检修计划!$F$2:$F$992,"&lt;"&amp;$A133+1,检修计划!$G$2:$G$992,"&gt;"&amp;$A133,检修计划!$H$2:$H$992,1)</f>
        <v/>
      </c>
      <c r="E133" s="5">
        <f>COUNTIFS(检修计划!$E$2:$E$992,"4",检修计划!$F$2:$F$992,"&lt;"&amp;$A133+1,检修计划!$G$2:$G$992,"&gt;"&amp;$A133,检修计划!$H$2:$H$992,1)</f>
        <v/>
      </c>
      <c r="F133" s="5">
        <f>COUNTIFS(检修计划!$E$2:$E$992,"5",检修计划!$F$2:$F$992,"&lt;"&amp;$A133+1,检修计划!$G$2:$G$992,"&gt;"&amp;$A133,检修计划!$H$2:$H$992,1)</f>
        <v/>
      </c>
    </row>
    <row r="134" ht="23" customHeight="1">
      <c r="A134" s="9" t="n">
        <v>45059</v>
      </c>
      <c r="B134" s="5">
        <f>COUNTIFS(检修计划!$E$2:$E$992,"1",检修计划!$F$2:$F$992,"&lt;"&amp;$A134+1,检修计划!$G$2:$G$992,"&gt;"&amp;$A134,检修计划!$H$2:$H$992,1)</f>
        <v/>
      </c>
      <c r="C134" s="5">
        <f>COUNTIFS(检修计划!$E$2:$E$992,"2",检修计划!$F$2:$F$992,"&lt;"&amp;$A134+1,检修计划!$G$2:$G$992,"&gt;"&amp;$A134,检修计划!$H$2:$H$992,1)</f>
        <v/>
      </c>
      <c r="D134" s="5">
        <f>COUNTIFS(检修计划!$E$2:$E$992,"3",检修计划!$F$2:$F$992,"&lt;"&amp;$A134+1,检修计划!$G$2:$G$992,"&gt;"&amp;$A134,检修计划!$H$2:$H$992,1)</f>
        <v/>
      </c>
      <c r="E134" s="5">
        <f>COUNTIFS(检修计划!$E$2:$E$992,"4",检修计划!$F$2:$F$992,"&lt;"&amp;$A134+1,检修计划!$G$2:$G$992,"&gt;"&amp;$A134,检修计划!$H$2:$H$992,1)</f>
        <v/>
      </c>
      <c r="F134" s="5">
        <f>COUNTIFS(检修计划!$E$2:$E$992,"5",检修计划!$F$2:$F$992,"&lt;"&amp;$A134+1,检修计划!$G$2:$G$992,"&gt;"&amp;$A134,检修计划!$H$2:$H$992,1)</f>
        <v/>
      </c>
    </row>
    <row r="135" ht="23" customHeight="1">
      <c r="A135" s="9" t="n">
        <v>45060</v>
      </c>
      <c r="B135" s="5">
        <f>COUNTIFS(检修计划!$E$2:$E$992,"1",检修计划!$F$2:$F$992,"&lt;"&amp;$A135+1,检修计划!$G$2:$G$992,"&gt;"&amp;$A135,检修计划!$H$2:$H$992,1)</f>
        <v/>
      </c>
      <c r="C135" s="5">
        <f>COUNTIFS(检修计划!$E$2:$E$992,"2",检修计划!$F$2:$F$992,"&lt;"&amp;$A135+1,检修计划!$G$2:$G$992,"&gt;"&amp;$A135,检修计划!$H$2:$H$992,1)</f>
        <v/>
      </c>
      <c r="D135" s="5">
        <f>COUNTIFS(检修计划!$E$2:$E$992,"3",检修计划!$F$2:$F$992,"&lt;"&amp;$A135+1,检修计划!$G$2:$G$992,"&gt;"&amp;$A135,检修计划!$H$2:$H$992,1)</f>
        <v/>
      </c>
      <c r="E135" s="5">
        <f>COUNTIFS(检修计划!$E$2:$E$992,"4",检修计划!$F$2:$F$992,"&lt;"&amp;$A135+1,检修计划!$G$2:$G$992,"&gt;"&amp;$A135,检修计划!$H$2:$H$992,1)</f>
        <v/>
      </c>
      <c r="F135" s="5">
        <f>COUNTIFS(检修计划!$E$2:$E$992,"5",检修计划!$F$2:$F$992,"&lt;"&amp;$A135+1,检修计划!$G$2:$G$992,"&gt;"&amp;$A135,检修计划!$H$2:$H$992,1)</f>
        <v/>
      </c>
    </row>
    <row r="136" ht="23" customHeight="1">
      <c r="A136" s="9" t="n">
        <v>45061</v>
      </c>
      <c r="B136" s="5">
        <f>COUNTIFS(检修计划!$E$2:$E$992,"1",检修计划!$F$2:$F$992,"&lt;"&amp;$A136+1,检修计划!$G$2:$G$992,"&gt;"&amp;$A136,检修计划!$H$2:$H$992,1)</f>
        <v/>
      </c>
      <c r="C136" s="5">
        <f>COUNTIFS(检修计划!$E$2:$E$992,"2",检修计划!$F$2:$F$992,"&lt;"&amp;$A136+1,检修计划!$G$2:$G$992,"&gt;"&amp;$A136,检修计划!$H$2:$H$992,1)</f>
        <v/>
      </c>
      <c r="D136" s="5">
        <f>COUNTIFS(检修计划!$E$2:$E$992,"3",检修计划!$F$2:$F$992,"&lt;"&amp;$A136+1,检修计划!$G$2:$G$992,"&gt;"&amp;$A136,检修计划!$H$2:$H$992,1)</f>
        <v/>
      </c>
      <c r="E136" s="5">
        <f>COUNTIFS(检修计划!$E$2:$E$992,"4",检修计划!$F$2:$F$992,"&lt;"&amp;$A136+1,检修计划!$G$2:$G$992,"&gt;"&amp;$A136,检修计划!$H$2:$H$992,1)</f>
        <v/>
      </c>
      <c r="F136" s="5">
        <f>COUNTIFS(检修计划!$E$2:$E$992,"5",检修计划!$F$2:$F$992,"&lt;"&amp;$A136+1,检修计划!$G$2:$G$992,"&gt;"&amp;$A136,检修计划!$H$2:$H$992,1)</f>
        <v/>
      </c>
    </row>
    <row r="137" ht="23" customHeight="1">
      <c r="A137" s="9" t="n">
        <v>45062</v>
      </c>
      <c r="B137" s="5">
        <f>COUNTIFS(检修计划!$E$2:$E$992,"1",检修计划!$F$2:$F$992,"&lt;"&amp;$A137+1,检修计划!$G$2:$G$992,"&gt;"&amp;$A137,检修计划!$H$2:$H$992,1)</f>
        <v/>
      </c>
      <c r="C137" s="5">
        <f>COUNTIFS(检修计划!$E$2:$E$992,"2",检修计划!$F$2:$F$992,"&lt;"&amp;$A137+1,检修计划!$G$2:$G$992,"&gt;"&amp;$A137,检修计划!$H$2:$H$992,1)</f>
        <v/>
      </c>
      <c r="D137" s="5">
        <f>COUNTIFS(检修计划!$E$2:$E$992,"3",检修计划!$F$2:$F$992,"&lt;"&amp;$A137+1,检修计划!$G$2:$G$992,"&gt;"&amp;$A137,检修计划!$H$2:$H$992,1)</f>
        <v/>
      </c>
      <c r="E137" s="5">
        <f>COUNTIFS(检修计划!$E$2:$E$992,"4",检修计划!$F$2:$F$992,"&lt;"&amp;$A137+1,检修计划!$G$2:$G$992,"&gt;"&amp;$A137,检修计划!$H$2:$H$992,1)</f>
        <v/>
      </c>
      <c r="F137" s="5">
        <f>COUNTIFS(检修计划!$E$2:$E$992,"5",检修计划!$F$2:$F$992,"&lt;"&amp;$A137+1,检修计划!$G$2:$G$992,"&gt;"&amp;$A137,检修计划!$H$2:$H$992,1)</f>
        <v/>
      </c>
    </row>
    <row r="138" ht="23" customHeight="1">
      <c r="A138" s="9" t="n">
        <v>45063</v>
      </c>
      <c r="B138" s="5">
        <f>COUNTIFS(检修计划!$E$2:$E$992,"1",检修计划!$F$2:$F$992,"&lt;"&amp;$A138+1,检修计划!$G$2:$G$992,"&gt;"&amp;$A138,检修计划!$H$2:$H$992,1)</f>
        <v/>
      </c>
      <c r="C138" s="5">
        <f>COUNTIFS(检修计划!$E$2:$E$992,"2",检修计划!$F$2:$F$992,"&lt;"&amp;$A138+1,检修计划!$G$2:$G$992,"&gt;"&amp;$A138,检修计划!$H$2:$H$992,1)</f>
        <v/>
      </c>
      <c r="D138" s="5">
        <f>COUNTIFS(检修计划!$E$2:$E$992,"3",检修计划!$F$2:$F$992,"&lt;"&amp;$A138+1,检修计划!$G$2:$G$992,"&gt;"&amp;$A138,检修计划!$H$2:$H$992,1)</f>
        <v/>
      </c>
      <c r="E138" s="5">
        <f>COUNTIFS(检修计划!$E$2:$E$992,"4",检修计划!$F$2:$F$992,"&lt;"&amp;$A138+1,检修计划!$G$2:$G$992,"&gt;"&amp;$A138,检修计划!$H$2:$H$992,1)</f>
        <v/>
      </c>
      <c r="F138" s="5">
        <f>COUNTIFS(检修计划!$E$2:$E$992,"5",检修计划!$F$2:$F$992,"&lt;"&amp;$A138+1,检修计划!$G$2:$G$992,"&gt;"&amp;$A138,检修计划!$H$2:$H$992,1)</f>
        <v/>
      </c>
    </row>
    <row r="139" ht="23" customHeight="1">
      <c r="A139" s="9" t="n">
        <v>45064</v>
      </c>
      <c r="B139" s="5">
        <f>COUNTIFS(检修计划!$E$2:$E$992,"1",检修计划!$F$2:$F$992,"&lt;"&amp;$A139+1,检修计划!$G$2:$G$992,"&gt;"&amp;$A139,检修计划!$H$2:$H$992,1)</f>
        <v/>
      </c>
      <c r="C139" s="5">
        <f>COUNTIFS(检修计划!$E$2:$E$992,"2",检修计划!$F$2:$F$992,"&lt;"&amp;$A139+1,检修计划!$G$2:$G$992,"&gt;"&amp;$A139,检修计划!$H$2:$H$992,1)</f>
        <v/>
      </c>
      <c r="D139" s="5">
        <f>COUNTIFS(检修计划!$E$2:$E$992,"3",检修计划!$F$2:$F$992,"&lt;"&amp;$A139+1,检修计划!$G$2:$G$992,"&gt;"&amp;$A139,检修计划!$H$2:$H$992,1)</f>
        <v/>
      </c>
      <c r="E139" s="5">
        <f>COUNTIFS(检修计划!$E$2:$E$992,"4",检修计划!$F$2:$F$992,"&lt;"&amp;$A139+1,检修计划!$G$2:$G$992,"&gt;"&amp;$A139,检修计划!$H$2:$H$992,1)</f>
        <v/>
      </c>
      <c r="F139" s="5">
        <f>COUNTIFS(检修计划!$E$2:$E$992,"5",检修计划!$F$2:$F$992,"&lt;"&amp;$A139+1,检修计划!$G$2:$G$992,"&gt;"&amp;$A139,检修计划!$H$2:$H$992,1)</f>
        <v/>
      </c>
    </row>
    <row r="140" ht="23" customHeight="1">
      <c r="A140" s="9" t="n">
        <v>45065</v>
      </c>
      <c r="B140" s="5">
        <f>COUNTIFS(检修计划!$E$2:$E$992,"1",检修计划!$F$2:$F$992,"&lt;"&amp;$A140+1,检修计划!$G$2:$G$992,"&gt;"&amp;$A140,检修计划!$H$2:$H$992,1)</f>
        <v/>
      </c>
      <c r="C140" s="5">
        <f>COUNTIFS(检修计划!$E$2:$E$992,"2",检修计划!$F$2:$F$992,"&lt;"&amp;$A140+1,检修计划!$G$2:$G$992,"&gt;"&amp;$A140,检修计划!$H$2:$H$992,1)</f>
        <v/>
      </c>
      <c r="D140" s="5">
        <f>COUNTIFS(检修计划!$E$2:$E$992,"3",检修计划!$F$2:$F$992,"&lt;"&amp;$A140+1,检修计划!$G$2:$G$992,"&gt;"&amp;$A140,检修计划!$H$2:$H$992,1)</f>
        <v/>
      </c>
      <c r="E140" s="5">
        <f>COUNTIFS(检修计划!$E$2:$E$992,"4",检修计划!$F$2:$F$992,"&lt;"&amp;$A140+1,检修计划!$G$2:$G$992,"&gt;"&amp;$A140,检修计划!$H$2:$H$992,1)</f>
        <v/>
      </c>
      <c r="F140" s="5">
        <f>COUNTIFS(检修计划!$E$2:$E$992,"5",检修计划!$F$2:$F$992,"&lt;"&amp;$A140+1,检修计划!$G$2:$G$992,"&gt;"&amp;$A140,检修计划!$H$2:$H$992,1)</f>
        <v/>
      </c>
    </row>
    <row r="141" ht="23" customHeight="1">
      <c r="A141" s="9" t="n">
        <v>45066</v>
      </c>
      <c r="B141" s="5">
        <f>COUNTIFS(检修计划!$E$2:$E$992,"1",检修计划!$F$2:$F$992,"&lt;"&amp;$A141+1,检修计划!$G$2:$G$992,"&gt;"&amp;$A141,检修计划!$H$2:$H$992,1)</f>
        <v/>
      </c>
      <c r="C141" s="5">
        <f>COUNTIFS(检修计划!$E$2:$E$992,"2",检修计划!$F$2:$F$992,"&lt;"&amp;$A141+1,检修计划!$G$2:$G$992,"&gt;"&amp;$A141,检修计划!$H$2:$H$992,1)</f>
        <v/>
      </c>
      <c r="D141" s="5">
        <f>COUNTIFS(检修计划!$E$2:$E$992,"3",检修计划!$F$2:$F$992,"&lt;"&amp;$A141+1,检修计划!$G$2:$G$992,"&gt;"&amp;$A141,检修计划!$H$2:$H$992,1)</f>
        <v/>
      </c>
      <c r="E141" s="5">
        <f>COUNTIFS(检修计划!$E$2:$E$992,"4",检修计划!$F$2:$F$992,"&lt;"&amp;$A141+1,检修计划!$G$2:$G$992,"&gt;"&amp;$A141,检修计划!$H$2:$H$992,1)</f>
        <v/>
      </c>
      <c r="F141" s="5">
        <f>COUNTIFS(检修计划!$E$2:$E$992,"5",检修计划!$F$2:$F$992,"&lt;"&amp;$A141+1,检修计划!$G$2:$G$992,"&gt;"&amp;$A141,检修计划!$H$2:$H$992,1)</f>
        <v/>
      </c>
    </row>
    <row r="142" ht="23" customHeight="1">
      <c r="A142" s="9" t="n">
        <v>45067</v>
      </c>
      <c r="B142" s="5">
        <f>COUNTIFS(检修计划!$E$2:$E$992,"1",检修计划!$F$2:$F$992,"&lt;"&amp;$A142+1,检修计划!$G$2:$G$992,"&gt;"&amp;$A142,检修计划!$H$2:$H$992,1)</f>
        <v/>
      </c>
      <c r="C142" s="5">
        <f>COUNTIFS(检修计划!$E$2:$E$992,"2",检修计划!$F$2:$F$992,"&lt;"&amp;$A142+1,检修计划!$G$2:$G$992,"&gt;"&amp;$A142,检修计划!$H$2:$H$992,1)</f>
        <v/>
      </c>
      <c r="D142" s="5">
        <f>COUNTIFS(检修计划!$E$2:$E$992,"3",检修计划!$F$2:$F$992,"&lt;"&amp;$A142+1,检修计划!$G$2:$G$992,"&gt;"&amp;$A142,检修计划!$H$2:$H$992,1)</f>
        <v/>
      </c>
      <c r="E142" s="5">
        <f>COUNTIFS(检修计划!$E$2:$E$992,"4",检修计划!$F$2:$F$992,"&lt;"&amp;$A142+1,检修计划!$G$2:$G$992,"&gt;"&amp;$A142,检修计划!$H$2:$H$992,1)</f>
        <v/>
      </c>
      <c r="F142" s="5">
        <f>COUNTIFS(检修计划!$E$2:$E$992,"5",检修计划!$F$2:$F$992,"&lt;"&amp;$A142+1,检修计划!$G$2:$G$992,"&gt;"&amp;$A142,检修计划!$H$2:$H$992,1)</f>
        <v/>
      </c>
    </row>
    <row r="143" ht="23" customHeight="1">
      <c r="A143" s="9" t="n">
        <v>45068</v>
      </c>
      <c r="B143" s="5">
        <f>COUNTIFS(检修计划!$E$2:$E$992,"1",检修计划!$F$2:$F$992,"&lt;"&amp;$A143+1,检修计划!$G$2:$G$992,"&gt;"&amp;$A143,检修计划!$H$2:$H$992,1)</f>
        <v/>
      </c>
      <c r="C143" s="5">
        <f>COUNTIFS(检修计划!$E$2:$E$992,"2",检修计划!$F$2:$F$992,"&lt;"&amp;$A143+1,检修计划!$G$2:$G$992,"&gt;"&amp;$A143,检修计划!$H$2:$H$992,1)</f>
        <v/>
      </c>
      <c r="D143" s="5">
        <f>COUNTIFS(检修计划!$E$2:$E$992,"3",检修计划!$F$2:$F$992,"&lt;"&amp;$A143+1,检修计划!$G$2:$G$992,"&gt;"&amp;$A143,检修计划!$H$2:$H$992,1)</f>
        <v/>
      </c>
      <c r="E143" s="5">
        <f>COUNTIFS(检修计划!$E$2:$E$992,"4",检修计划!$F$2:$F$992,"&lt;"&amp;$A143+1,检修计划!$G$2:$G$992,"&gt;"&amp;$A143,检修计划!$H$2:$H$992,1)</f>
        <v/>
      </c>
      <c r="F143" s="5">
        <f>COUNTIFS(检修计划!$E$2:$E$992,"5",检修计划!$F$2:$F$992,"&lt;"&amp;$A143+1,检修计划!$G$2:$G$992,"&gt;"&amp;$A143,检修计划!$H$2:$H$992,1)</f>
        <v/>
      </c>
    </row>
    <row r="144" ht="23" customHeight="1">
      <c r="A144" s="9" t="n">
        <v>45069</v>
      </c>
      <c r="B144" s="5">
        <f>COUNTIFS(检修计划!$E$2:$E$992,"1",检修计划!$F$2:$F$992,"&lt;"&amp;$A144+1,检修计划!$G$2:$G$992,"&gt;"&amp;$A144,检修计划!$H$2:$H$992,1)</f>
        <v/>
      </c>
      <c r="C144" s="5">
        <f>COUNTIFS(检修计划!$E$2:$E$992,"2",检修计划!$F$2:$F$992,"&lt;"&amp;$A144+1,检修计划!$G$2:$G$992,"&gt;"&amp;$A144,检修计划!$H$2:$H$992,1)</f>
        <v/>
      </c>
      <c r="D144" s="5">
        <f>COUNTIFS(检修计划!$E$2:$E$992,"3",检修计划!$F$2:$F$992,"&lt;"&amp;$A144+1,检修计划!$G$2:$G$992,"&gt;"&amp;$A144,检修计划!$H$2:$H$992,1)</f>
        <v/>
      </c>
      <c r="E144" s="5">
        <f>COUNTIFS(检修计划!$E$2:$E$992,"4",检修计划!$F$2:$F$992,"&lt;"&amp;$A144+1,检修计划!$G$2:$G$992,"&gt;"&amp;$A144,检修计划!$H$2:$H$992,1)</f>
        <v/>
      </c>
      <c r="F144" s="5">
        <f>COUNTIFS(检修计划!$E$2:$E$992,"5",检修计划!$F$2:$F$992,"&lt;"&amp;$A144+1,检修计划!$G$2:$G$992,"&gt;"&amp;$A144,检修计划!$H$2:$H$992,1)</f>
        <v/>
      </c>
    </row>
    <row r="145" ht="23" customHeight="1">
      <c r="A145" s="9" t="n">
        <v>45070</v>
      </c>
      <c r="B145" s="5">
        <f>COUNTIFS(检修计划!$E$2:$E$992,"1",检修计划!$F$2:$F$992,"&lt;"&amp;$A145+1,检修计划!$G$2:$G$992,"&gt;"&amp;$A145,检修计划!$H$2:$H$992,1)</f>
        <v/>
      </c>
      <c r="C145" s="5">
        <f>COUNTIFS(检修计划!$E$2:$E$992,"2",检修计划!$F$2:$F$992,"&lt;"&amp;$A145+1,检修计划!$G$2:$G$992,"&gt;"&amp;$A145,检修计划!$H$2:$H$992,1)</f>
        <v/>
      </c>
      <c r="D145" s="5">
        <f>COUNTIFS(检修计划!$E$2:$E$992,"3",检修计划!$F$2:$F$992,"&lt;"&amp;$A145+1,检修计划!$G$2:$G$992,"&gt;"&amp;$A145,检修计划!$H$2:$H$992,1)</f>
        <v/>
      </c>
      <c r="E145" s="5">
        <f>COUNTIFS(检修计划!$E$2:$E$992,"4",检修计划!$F$2:$F$992,"&lt;"&amp;$A145+1,检修计划!$G$2:$G$992,"&gt;"&amp;$A145,检修计划!$H$2:$H$992,1)</f>
        <v/>
      </c>
      <c r="F145" s="5">
        <f>COUNTIFS(检修计划!$E$2:$E$992,"5",检修计划!$F$2:$F$992,"&lt;"&amp;$A145+1,检修计划!$G$2:$G$992,"&gt;"&amp;$A145,检修计划!$H$2:$H$992,1)</f>
        <v/>
      </c>
    </row>
    <row r="146" ht="23" customHeight="1">
      <c r="A146" s="9" t="n">
        <v>45071</v>
      </c>
      <c r="B146" s="5">
        <f>COUNTIFS(检修计划!$E$2:$E$992,"1",检修计划!$F$2:$F$992,"&lt;"&amp;$A146+1,检修计划!$G$2:$G$992,"&gt;"&amp;$A146,检修计划!$H$2:$H$992,1)</f>
        <v/>
      </c>
      <c r="C146" s="5">
        <f>COUNTIFS(检修计划!$E$2:$E$992,"2",检修计划!$F$2:$F$992,"&lt;"&amp;$A146+1,检修计划!$G$2:$G$992,"&gt;"&amp;$A146,检修计划!$H$2:$H$992,1)</f>
        <v/>
      </c>
      <c r="D146" s="5">
        <f>COUNTIFS(检修计划!$E$2:$E$992,"3",检修计划!$F$2:$F$992,"&lt;"&amp;$A146+1,检修计划!$G$2:$G$992,"&gt;"&amp;$A146,检修计划!$H$2:$H$992,1)</f>
        <v/>
      </c>
      <c r="E146" s="5">
        <f>COUNTIFS(检修计划!$E$2:$E$992,"4",检修计划!$F$2:$F$992,"&lt;"&amp;$A146+1,检修计划!$G$2:$G$992,"&gt;"&amp;$A146,检修计划!$H$2:$H$992,1)</f>
        <v/>
      </c>
      <c r="F146" s="5">
        <f>COUNTIFS(检修计划!$E$2:$E$992,"5",检修计划!$F$2:$F$992,"&lt;"&amp;$A146+1,检修计划!$G$2:$G$992,"&gt;"&amp;$A146,检修计划!$H$2:$H$992,1)</f>
        <v/>
      </c>
    </row>
    <row r="147" ht="23" customHeight="1">
      <c r="A147" s="9" t="n">
        <v>45072</v>
      </c>
      <c r="B147" s="5">
        <f>COUNTIFS(检修计划!$E$2:$E$992,"1",检修计划!$F$2:$F$992,"&lt;"&amp;$A147+1,检修计划!$G$2:$G$992,"&gt;"&amp;$A147,检修计划!$H$2:$H$992,1)</f>
        <v/>
      </c>
      <c r="C147" s="5">
        <f>COUNTIFS(检修计划!$E$2:$E$992,"2",检修计划!$F$2:$F$992,"&lt;"&amp;$A147+1,检修计划!$G$2:$G$992,"&gt;"&amp;$A147,检修计划!$H$2:$H$992,1)</f>
        <v/>
      </c>
      <c r="D147" s="5">
        <f>COUNTIFS(检修计划!$E$2:$E$992,"3",检修计划!$F$2:$F$992,"&lt;"&amp;$A147+1,检修计划!$G$2:$G$992,"&gt;"&amp;$A147,检修计划!$H$2:$H$992,1)</f>
        <v/>
      </c>
      <c r="E147" s="5">
        <f>COUNTIFS(检修计划!$E$2:$E$992,"4",检修计划!$F$2:$F$992,"&lt;"&amp;$A147+1,检修计划!$G$2:$G$992,"&gt;"&amp;$A147,检修计划!$H$2:$H$992,1)</f>
        <v/>
      </c>
      <c r="F147" s="5">
        <f>COUNTIFS(检修计划!$E$2:$E$992,"5",检修计划!$F$2:$F$992,"&lt;"&amp;$A147+1,检修计划!$G$2:$G$992,"&gt;"&amp;$A147,检修计划!$H$2:$H$992,1)</f>
        <v/>
      </c>
    </row>
    <row r="148" ht="23" customHeight="1">
      <c r="A148" s="9" t="n">
        <v>45073</v>
      </c>
      <c r="B148" s="5">
        <f>COUNTIFS(检修计划!$E$2:$E$992,"1",检修计划!$F$2:$F$992,"&lt;"&amp;$A148+1,检修计划!$G$2:$G$992,"&gt;"&amp;$A148,检修计划!$H$2:$H$992,1)</f>
        <v/>
      </c>
      <c r="C148" s="5">
        <f>COUNTIFS(检修计划!$E$2:$E$992,"2",检修计划!$F$2:$F$992,"&lt;"&amp;$A148+1,检修计划!$G$2:$G$992,"&gt;"&amp;$A148,检修计划!$H$2:$H$992,1)</f>
        <v/>
      </c>
      <c r="D148" s="5">
        <f>COUNTIFS(检修计划!$E$2:$E$992,"3",检修计划!$F$2:$F$992,"&lt;"&amp;$A148+1,检修计划!$G$2:$G$992,"&gt;"&amp;$A148,检修计划!$H$2:$H$992,1)</f>
        <v/>
      </c>
      <c r="E148" s="5">
        <f>COUNTIFS(检修计划!$E$2:$E$992,"4",检修计划!$F$2:$F$992,"&lt;"&amp;$A148+1,检修计划!$G$2:$G$992,"&gt;"&amp;$A148,检修计划!$H$2:$H$992,1)</f>
        <v/>
      </c>
      <c r="F148" s="5">
        <f>COUNTIFS(检修计划!$E$2:$E$992,"5",检修计划!$F$2:$F$992,"&lt;"&amp;$A148+1,检修计划!$G$2:$G$992,"&gt;"&amp;$A148,检修计划!$H$2:$H$992,1)</f>
        <v/>
      </c>
    </row>
    <row r="149" ht="23" customHeight="1">
      <c r="A149" s="9" t="n">
        <v>45074</v>
      </c>
      <c r="B149" s="5">
        <f>COUNTIFS(检修计划!$E$2:$E$992,"1",检修计划!$F$2:$F$992,"&lt;"&amp;$A149+1,检修计划!$G$2:$G$992,"&gt;"&amp;$A149,检修计划!$H$2:$H$992,1)</f>
        <v/>
      </c>
      <c r="C149" s="5">
        <f>COUNTIFS(检修计划!$E$2:$E$992,"2",检修计划!$F$2:$F$992,"&lt;"&amp;$A149+1,检修计划!$G$2:$G$992,"&gt;"&amp;$A149,检修计划!$H$2:$H$992,1)</f>
        <v/>
      </c>
      <c r="D149" s="5">
        <f>COUNTIFS(检修计划!$E$2:$E$992,"3",检修计划!$F$2:$F$992,"&lt;"&amp;$A149+1,检修计划!$G$2:$G$992,"&gt;"&amp;$A149,检修计划!$H$2:$H$992,1)</f>
        <v/>
      </c>
      <c r="E149" s="5">
        <f>COUNTIFS(检修计划!$E$2:$E$992,"4",检修计划!$F$2:$F$992,"&lt;"&amp;$A149+1,检修计划!$G$2:$G$992,"&gt;"&amp;$A149,检修计划!$H$2:$H$992,1)</f>
        <v/>
      </c>
      <c r="F149" s="5">
        <f>COUNTIFS(检修计划!$E$2:$E$992,"5",检修计划!$F$2:$F$992,"&lt;"&amp;$A149+1,检修计划!$G$2:$G$992,"&gt;"&amp;$A149,检修计划!$H$2:$H$992,1)</f>
        <v/>
      </c>
    </row>
    <row r="150" ht="23" customHeight="1">
      <c r="A150" s="9" t="n">
        <v>45075</v>
      </c>
      <c r="B150" s="5">
        <f>COUNTIFS(检修计划!$E$2:$E$992,"1",检修计划!$F$2:$F$992,"&lt;"&amp;$A150+1,检修计划!$G$2:$G$992,"&gt;"&amp;$A150,检修计划!$H$2:$H$992,1)</f>
        <v/>
      </c>
      <c r="C150" s="5">
        <f>COUNTIFS(检修计划!$E$2:$E$992,"2",检修计划!$F$2:$F$992,"&lt;"&amp;$A150+1,检修计划!$G$2:$G$992,"&gt;"&amp;$A150,检修计划!$H$2:$H$992,1)</f>
        <v/>
      </c>
      <c r="D150" s="5">
        <f>COUNTIFS(检修计划!$E$2:$E$992,"3",检修计划!$F$2:$F$992,"&lt;"&amp;$A150+1,检修计划!$G$2:$G$992,"&gt;"&amp;$A150,检修计划!$H$2:$H$992,1)</f>
        <v/>
      </c>
      <c r="E150" s="5">
        <f>COUNTIFS(检修计划!$E$2:$E$992,"4",检修计划!$F$2:$F$992,"&lt;"&amp;$A150+1,检修计划!$G$2:$G$992,"&gt;"&amp;$A150,检修计划!$H$2:$H$992,1)</f>
        <v/>
      </c>
      <c r="F150" s="5">
        <f>COUNTIFS(检修计划!$E$2:$E$992,"5",检修计划!$F$2:$F$992,"&lt;"&amp;$A150+1,检修计划!$G$2:$G$992,"&gt;"&amp;$A150,检修计划!$H$2:$H$992,1)</f>
        <v/>
      </c>
    </row>
    <row r="151" ht="23" customHeight="1">
      <c r="A151" s="9" t="n">
        <v>45076</v>
      </c>
      <c r="B151" s="5">
        <f>COUNTIFS(检修计划!$E$2:$E$992,"1",检修计划!$F$2:$F$992,"&lt;"&amp;$A151+1,检修计划!$G$2:$G$992,"&gt;"&amp;$A151,检修计划!$H$2:$H$992,1)</f>
        <v/>
      </c>
      <c r="C151" s="5">
        <f>COUNTIFS(检修计划!$E$2:$E$992,"2",检修计划!$F$2:$F$992,"&lt;"&amp;$A151+1,检修计划!$G$2:$G$992,"&gt;"&amp;$A151,检修计划!$H$2:$H$992,1)</f>
        <v/>
      </c>
      <c r="D151" s="5">
        <f>COUNTIFS(检修计划!$E$2:$E$992,"3",检修计划!$F$2:$F$992,"&lt;"&amp;$A151+1,检修计划!$G$2:$G$992,"&gt;"&amp;$A151,检修计划!$H$2:$H$992,1)</f>
        <v/>
      </c>
      <c r="E151" s="5">
        <f>COUNTIFS(检修计划!$E$2:$E$992,"4",检修计划!$F$2:$F$992,"&lt;"&amp;$A151+1,检修计划!$G$2:$G$992,"&gt;"&amp;$A151,检修计划!$H$2:$H$992,1)</f>
        <v/>
      </c>
      <c r="F151" s="5">
        <f>COUNTIFS(检修计划!$E$2:$E$992,"5",检修计划!$F$2:$F$992,"&lt;"&amp;$A151+1,检修计划!$G$2:$G$992,"&gt;"&amp;$A151,检修计划!$H$2:$H$992,1)</f>
        <v/>
      </c>
    </row>
    <row r="152" ht="23" customHeight="1">
      <c r="A152" s="9" t="n">
        <v>45077</v>
      </c>
      <c r="B152" s="5">
        <f>COUNTIFS(检修计划!$E$2:$E$992,"1",检修计划!$F$2:$F$992,"&lt;"&amp;$A152+1,检修计划!$G$2:$G$992,"&gt;"&amp;$A152,检修计划!$H$2:$H$992,1)</f>
        <v/>
      </c>
      <c r="C152" s="5">
        <f>COUNTIFS(检修计划!$E$2:$E$992,"2",检修计划!$F$2:$F$992,"&lt;"&amp;$A152+1,检修计划!$G$2:$G$992,"&gt;"&amp;$A152,检修计划!$H$2:$H$992,1)</f>
        <v/>
      </c>
      <c r="D152" s="5">
        <f>COUNTIFS(检修计划!$E$2:$E$992,"3",检修计划!$F$2:$F$992,"&lt;"&amp;$A152+1,检修计划!$G$2:$G$992,"&gt;"&amp;$A152,检修计划!$H$2:$H$992,1)</f>
        <v/>
      </c>
      <c r="E152" s="5">
        <f>COUNTIFS(检修计划!$E$2:$E$992,"4",检修计划!$F$2:$F$992,"&lt;"&amp;$A152+1,检修计划!$G$2:$G$992,"&gt;"&amp;$A152,检修计划!$H$2:$H$992,1)</f>
        <v/>
      </c>
      <c r="F152" s="5">
        <f>COUNTIFS(检修计划!$E$2:$E$992,"5",检修计划!$F$2:$F$992,"&lt;"&amp;$A152+1,检修计划!$G$2:$G$992,"&gt;"&amp;$A152,检修计划!$H$2:$H$992,1)</f>
        <v/>
      </c>
    </row>
    <row r="153" ht="23" customHeight="1">
      <c r="A153" s="9" t="n">
        <v>45078</v>
      </c>
      <c r="B153" s="5">
        <f>COUNTIFS(检修计划!$E$2:$E$992,"1",检修计划!$F$2:$F$992,"&lt;"&amp;$A153+1,检修计划!$G$2:$G$992,"&gt;"&amp;$A153,检修计划!$H$2:$H$992,1)</f>
        <v/>
      </c>
      <c r="C153" s="5">
        <f>COUNTIFS(检修计划!$E$2:$E$992,"2",检修计划!$F$2:$F$992,"&lt;"&amp;$A153+1,检修计划!$G$2:$G$992,"&gt;"&amp;$A153,检修计划!$H$2:$H$992,1)</f>
        <v/>
      </c>
      <c r="D153" s="5">
        <f>COUNTIFS(检修计划!$E$2:$E$992,"3",检修计划!$F$2:$F$992,"&lt;"&amp;$A153+1,检修计划!$G$2:$G$992,"&gt;"&amp;$A153,检修计划!$H$2:$H$992,1)</f>
        <v/>
      </c>
      <c r="E153" s="5">
        <f>COUNTIFS(检修计划!$E$2:$E$992,"4",检修计划!$F$2:$F$992,"&lt;"&amp;$A153+1,检修计划!$G$2:$G$992,"&gt;"&amp;$A153,检修计划!$H$2:$H$992,1)</f>
        <v/>
      </c>
      <c r="F153" s="5">
        <f>COUNTIFS(检修计划!$E$2:$E$992,"5",检修计划!$F$2:$F$992,"&lt;"&amp;$A153+1,检修计划!$G$2:$G$992,"&gt;"&amp;$A153,检修计划!$H$2:$H$992,1)</f>
        <v/>
      </c>
    </row>
    <row r="154" ht="23" customHeight="1">
      <c r="A154" s="9" t="n">
        <v>45079</v>
      </c>
      <c r="B154" s="5">
        <f>COUNTIFS(检修计划!$E$2:$E$992,"1",检修计划!$F$2:$F$992,"&lt;"&amp;$A154+1,检修计划!$G$2:$G$992,"&gt;"&amp;$A154,检修计划!$H$2:$H$992,1)</f>
        <v/>
      </c>
      <c r="C154" s="5">
        <f>COUNTIFS(检修计划!$E$2:$E$992,"2",检修计划!$F$2:$F$992,"&lt;"&amp;$A154+1,检修计划!$G$2:$G$992,"&gt;"&amp;$A154,检修计划!$H$2:$H$992,1)</f>
        <v/>
      </c>
      <c r="D154" s="5">
        <f>COUNTIFS(检修计划!$E$2:$E$992,"3",检修计划!$F$2:$F$992,"&lt;"&amp;$A154+1,检修计划!$G$2:$G$992,"&gt;"&amp;$A154,检修计划!$H$2:$H$992,1)</f>
        <v/>
      </c>
      <c r="E154" s="5">
        <f>COUNTIFS(检修计划!$E$2:$E$992,"4",检修计划!$F$2:$F$992,"&lt;"&amp;$A154+1,检修计划!$G$2:$G$992,"&gt;"&amp;$A154,检修计划!$H$2:$H$992,1)</f>
        <v/>
      </c>
      <c r="F154" s="5">
        <f>COUNTIFS(检修计划!$E$2:$E$992,"5",检修计划!$F$2:$F$992,"&lt;"&amp;$A154+1,检修计划!$G$2:$G$992,"&gt;"&amp;$A154,检修计划!$H$2:$H$992,1)</f>
        <v/>
      </c>
    </row>
    <row r="155" ht="23" customHeight="1">
      <c r="A155" s="9" t="n">
        <v>45080</v>
      </c>
      <c r="B155" s="5">
        <f>COUNTIFS(检修计划!$E$2:$E$992,"1",检修计划!$F$2:$F$992,"&lt;"&amp;$A155+1,检修计划!$G$2:$G$992,"&gt;"&amp;$A155,检修计划!$H$2:$H$992,1)</f>
        <v/>
      </c>
      <c r="C155" s="5">
        <f>COUNTIFS(检修计划!$E$2:$E$992,"2",检修计划!$F$2:$F$992,"&lt;"&amp;$A155+1,检修计划!$G$2:$G$992,"&gt;"&amp;$A155,检修计划!$H$2:$H$992,1)</f>
        <v/>
      </c>
      <c r="D155" s="5">
        <f>COUNTIFS(检修计划!$E$2:$E$992,"3",检修计划!$F$2:$F$992,"&lt;"&amp;$A155+1,检修计划!$G$2:$G$992,"&gt;"&amp;$A155,检修计划!$H$2:$H$992,1)</f>
        <v/>
      </c>
      <c r="E155" s="5">
        <f>COUNTIFS(检修计划!$E$2:$E$992,"4",检修计划!$F$2:$F$992,"&lt;"&amp;$A155+1,检修计划!$G$2:$G$992,"&gt;"&amp;$A155,检修计划!$H$2:$H$992,1)</f>
        <v/>
      </c>
      <c r="F155" s="5">
        <f>COUNTIFS(检修计划!$E$2:$E$992,"5",检修计划!$F$2:$F$992,"&lt;"&amp;$A155+1,检修计划!$G$2:$G$992,"&gt;"&amp;$A155,检修计划!$H$2:$H$992,1)</f>
        <v/>
      </c>
    </row>
    <row r="156" ht="23" customHeight="1">
      <c r="A156" s="9" t="n">
        <v>45081</v>
      </c>
      <c r="B156" s="5">
        <f>COUNTIFS(检修计划!$E$2:$E$992,"1",检修计划!$F$2:$F$992,"&lt;"&amp;$A156+1,检修计划!$G$2:$G$992,"&gt;"&amp;$A156,检修计划!$H$2:$H$992,1)</f>
        <v/>
      </c>
      <c r="C156" s="5">
        <f>COUNTIFS(检修计划!$E$2:$E$992,"2",检修计划!$F$2:$F$992,"&lt;"&amp;$A156+1,检修计划!$G$2:$G$992,"&gt;"&amp;$A156,检修计划!$H$2:$H$992,1)</f>
        <v/>
      </c>
      <c r="D156" s="5">
        <f>COUNTIFS(检修计划!$E$2:$E$992,"3",检修计划!$F$2:$F$992,"&lt;"&amp;$A156+1,检修计划!$G$2:$G$992,"&gt;"&amp;$A156,检修计划!$H$2:$H$992,1)</f>
        <v/>
      </c>
      <c r="E156" s="5">
        <f>COUNTIFS(检修计划!$E$2:$E$992,"4",检修计划!$F$2:$F$992,"&lt;"&amp;$A156+1,检修计划!$G$2:$G$992,"&gt;"&amp;$A156,检修计划!$H$2:$H$992,1)</f>
        <v/>
      </c>
      <c r="F156" s="5">
        <f>COUNTIFS(检修计划!$E$2:$E$992,"5",检修计划!$F$2:$F$992,"&lt;"&amp;$A156+1,检修计划!$G$2:$G$992,"&gt;"&amp;$A156,检修计划!$H$2:$H$992,1)</f>
        <v/>
      </c>
    </row>
    <row r="157" ht="23" customHeight="1">
      <c r="A157" s="9" t="n">
        <v>45082</v>
      </c>
      <c r="B157" s="5">
        <f>COUNTIFS(检修计划!$E$2:$E$992,"1",检修计划!$F$2:$F$992,"&lt;"&amp;$A157+1,检修计划!$G$2:$G$992,"&gt;"&amp;$A157,检修计划!$H$2:$H$992,1)</f>
        <v/>
      </c>
      <c r="C157" s="5">
        <f>COUNTIFS(检修计划!$E$2:$E$992,"2",检修计划!$F$2:$F$992,"&lt;"&amp;$A157+1,检修计划!$G$2:$G$992,"&gt;"&amp;$A157,检修计划!$H$2:$H$992,1)</f>
        <v/>
      </c>
      <c r="D157" s="5">
        <f>COUNTIFS(检修计划!$E$2:$E$992,"3",检修计划!$F$2:$F$992,"&lt;"&amp;$A157+1,检修计划!$G$2:$G$992,"&gt;"&amp;$A157,检修计划!$H$2:$H$992,1)</f>
        <v/>
      </c>
      <c r="E157" s="5">
        <f>COUNTIFS(检修计划!$E$2:$E$992,"4",检修计划!$F$2:$F$992,"&lt;"&amp;$A157+1,检修计划!$G$2:$G$992,"&gt;"&amp;$A157,检修计划!$H$2:$H$992,1)</f>
        <v/>
      </c>
      <c r="F157" s="5">
        <f>COUNTIFS(检修计划!$E$2:$E$992,"5",检修计划!$F$2:$F$992,"&lt;"&amp;$A157+1,检修计划!$G$2:$G$992,"&gt;"&amp;$A157,检修计划!$H$2:$H$992,1)</f>
        <v/>
      </c>
    </row>
    <row r="158" ht="23" customHeight="1">
      <c r="A158" s="9" t="n">
        <v>45083</v>
      </c>
      <c r="B158" s="5">
        <f>COUNTIFS(检修计划!$E$2:$E$992,"1",检修计划!$F$2:$F$992,"&lt;"&amp;$A158+1,检修计划!$G$2:$G$992,"&gt;"&amp;$A158,检修计划!$H$2:$H$992,1)</f>
        <v/>
      </c>
      <c r="C158" s="5">
        <f>COUNTIFS(检修计划!$E$2:$E$992,"2",检修计划!$F$2:$F$992,"&lt;"&amp;$A158+1,检修计划!$G$2:$G$992,"&gt;"&amp;$A158,检修计划!$H$2:$H$992,1)</f>
        <v/>
      </c>
      <c r="D158" s="5">
        <f>COUNTIFS(检修计划!$E$2:$E$992,"3",检修计划!$F$2:$F$992,"&lt;"&amp;$A158+1,检修计划!$G$2:$G$992,"&gt;"&amp;$A158,检修计划!$H$2:$H$992,1)</f>
        <v/>
      </c>
      <c r="E158" s="5">
        <f>COUNTIFS(检修计划!$E$2:$E$992,"4",检修计划!$F$2:$F$992,"&lt;"&amp;$A158+1,检修计划!$G$2:$G$992,"&gt;"&amp;$A158,检修计划!$H$2:$H$992,1)</f>
        <v/>
      </c>
      <c r="F158" s="5">
        <f>COUNTIFS(检修计划!$E$2:$E$992,"5",检修计划!$F$2:$F$992,"&lt;"&amp;$A158+1,检修计划!$G$2:$G$992,"&gt;"&amp;$A158,检修计划!$H$2:$H$992,1)</f>
        <v/>
      </c>
    </row>
    <row r="159" ht="23" customHeight="1">
      <c r="A159" s="9" t="n">
        <v>45084</v>
      </c>
      <c r="B159" s="5">
        <f>COUNTIFS(检修计划!$E$2:$E$992,"1",检修计划!$F$2:$F$992,"&lt;"&amp;$A159+1,检修计划!$G$2:$G$992,"&gt;"&amp;$A159,检修计划!$H$2:$H$992,1)</f>
        <v/>
      </c>
      <c r="C159" s="5">
        <f>COUNTIFS(检修计划!$E$2:$E$992,"2",检修计划!$F$2:$F$992,"&lt;"&amp;$A159+1,检修计划!$G$2:$G$992,"&gt;"&amp;$A159,检修计划!$H$2:$H$992,1)</f>
        <v/>
      </c>
      <c r="D159" s="5">
        <f>COUNTIFS(检修计划!$E$2:$E$992,"3",检修计划!$F$2:$F$992,"&lt;"&amp;$A159+1,检修计划!$G$2:$G$992,"&gt;"&amp;$A159,检修计划!$H$2:$H$992,1)</f>
        <v/>
      </c>
      <c r="E159" s="5">
        <f>COUNTIFS(检修计划!$E$2:$E$992,"4",检修计划!$F$2:$F$992,"&lt;"&amp;$A159+1,检修计划!$G$2:$G$992,"&gt;"&amp;$A159,检修计划!$H$2:$H$992,1)</f>
        <v/>
      </c>
      <c r="F159" s="5">
        <f>COUNTIFS(检修计划!$E$2:$E$992,"5",检修计划!$F$2:$F$992,"&lt;"&amp;$A159+1,检修计划!$G$2:$G$992,"&gt;"&amp;$A159,检修计划!$H$2:$H$992,1)</f>
        <v/>
      </c>
    </row>
    <row r="160" ht="23" customHeight="1">
      <c r="A160" s="9" t="n">
        <v>45085</v>
      </c>
      <c r="B160" s="5">
        <f>COUNTIFS(检修计划!$E$2:$E$992,"1",检修计划!$F$2:$F$992,"&lt;"&amp;$A160+1,检修计划!$G$2:$G$992,"&gt;"&amp;$A160,检修计划!$H$2:$H$992,1)</f>
        <v/>
      </c>
      <c r="C160" s="5">
        <f>COUNTIFS(检修计划!$E$2:$E$992,"2",检修计划!$F$2:$F$992,"&lt;"&amp;$A160+1,检修计划!$G$2:$G$992,"&gt;"&amp;$A160,检修计划!$H$2:$H$992,1)</f>
        <v/>
      </c>
      <c r="D160" s="5">
        <f>COUNTIFS(检修计划!$E$2:$E$992,"3",检修计划!$F$2:$F$992,"&lt;"&amp;$A160+1,检修计划!$G$2:$G$992,"&gt;"&amp;$A160,检修计划!$H$2:$H$992,1)</f>
        <v/>
      </c>
      <c r="E160" s="5">
        <f>COUNTIFS(检修计划!$E$2:$E$992,"4",检修计划!$F$2:$F$992,"&lt;"&amp;$A160+1,检修计划!$G$2:$G$992,"&gt;"&amp;$A160,检修计划!$H$2:$H$992,1)</f>
        <v/>
      </c>
      <c r="F160" s="5">
        <f>COUNTIFS(检修计划!$E$2:$E$992,"5",检修计划!$F$2:$F$992,"&lt;"&amp;$A160+1,检修计划!$G$2:$G$992,"&gt;"&amp;$A160,检修计划!$H$2:$H$992,1)</f>
        <v/>
      </c>
    </row>
    <row r="161" ht="23" customHeight="1">
      <c r="A161" s="9" t="n">
        <v>45086</v>
      </c>
      <c r="B161" s="5">
        <f>COUNTIFS(检修计划!$E$2:$E$992,"1",检修计划!$F$2:$F$992,"&lt;"&amp;$A161+1,检修计划!$G$2:$G$992,"&gt;"&amp;$A161,检修计划!$H$2:$H$992,1)</f>
        <v/>
      </c>
      <c r="C161" s="5">
        <f>COUNTIFS(检修计划!$E$2:$E$992,"2",检修计划!$F$2:$F$992,"&lt;"&amp;$A161+1,检修计划!$G$2:$G$992,"&gt;"&amp;$A161,检修计划!$H$2:$H$992,1)</f>
        <v/>
      </c>
      <c r="D161" s="5">
        <f>COUNTIFS(检修计划!$E$2:$E$992,"3",检修计划!$F$2:$F$992,"&lt;"&amp;$A161+1,检修计划!$G$2:$G$992,"&gt;"&amp;$A161,检修计划!$H$2:$H$992,1)</f>
        <v/>
      </c>
      <c r="E161" s="5">
        <f>COUNTIFS(检修计划!$E$2:$E$992,"4",检修计划!$F$2:$F$992,"&lt;"&amp;$A161+1,检修计划!$G$2:$G$992,"&gt;"&amp;$A161,检修计划!$H$2:$H$992,1)</f>
        <v/>
      </c>
      <c r="F161" s="5">
        <f>COUNTIFS(检修计划!$E$2:$E$992,"5",检修计划!$F$2:$F$992,"&lt;"&amp;$A161+1,检修计划!$G$2:$G$992,"&gt;"&amp;$A161,检修计划!$H$2:$H$992,1)</f>
        <v/>
      </c>
    </row>
    <row r="162" ht="23" customHeight="1">
      <c r="A162" s="9" t="n">
        <v>45087</v>
      </c>
      <c r="B162" s="5">
        <f>COUNTIFS(检修计划!$E$2:$E$992,"1",检修计划!$F$2:$F$992,"&lt;"&amp;$A162+1,检修计划!$G$2:$G$992,"&gt;"&amp;$A162,检修计划!$H$2:$H$992,1)</f>
        <v/>
      </c>
      <c r="C162" s="5">
        <f>COUNTIFS(检修计划!$E$2:$E$992,"2",检修计划!$F$2:$F$992,"&lt;"&amp;$A162+1,检修计划!$G$2:$G$992,"&gt;"&amp;$A162,检修计划!$H$2:$H$992,1)</f>
        <v/>
      </c>
      <c r="D162" s="5">
        <f>COUNTIFS(检修计划!$E$2:$E$992,"3",检修计划!$F$2:$F$992,"&lt;"&amp;$A162+1,检修计划!$G$2:$G$992,"&gt;"&amp;$A162,检修计划!$H$2:$H$992,1)</f>
        <v/>
      </c>
      <c r="E162" s="5">
        <f>COUNTIFS(检修计划!$E$2:$E$992,"4",检修计划!$F$2:$F$992,"&lt;"&amp;$A162+1,检修计划!$G$2:$G$992,"&gt;"&amp;$A162,检修计划!$H$2:$H$992,1)</f>
        <v/>
      </c>
      <c r="F162" s="5">
        <f>COUNTIFS(检修计划!$E$2:$E$992,"5",检修计划!$F$2:$F$992,"&lt;"&amp;$A162+1,检修计划!$G$2:$G$992,"&gt;"&amp;$A162,检修计划!$H$2:$H$992,1)</f>
        <v/>
      </c>
    </row>
    <row r="163" ht="23" customHeight="1">
      <c r="A163" s="9" t="n">
        <v>45088</v>
      </c>
      <c r="B163" s="5">
        <f>COUNTIFS(检修计划!$E$2:$E$992,"1",检修计划!$F$2:$F$992,"&lt;"&amp;$A163+1,检修计划!$G$2:$G$992,"&gt;"&amp;$A163,检修计划!$H$2:$H$992,1)</f>
        <v/>
      </c>
      <c r="C163" s="5">
        <f>COUNTIFS(检修计划!$E$2:$E$992,"2",检修计划!$F$2:$F$992,"&lt;"&amp;$A163+1,检修计划!$G$2:$G$992,"&gt;"&amp;$A163,检修计划!$H$2:$H$992,1)</f>
        <v/>
      </c>
      <c r="D163" s="5">
        <f>COUNTIFS(检修计划!$E$2:$E$992,"3",检修计划!$F$2:$F$992,"&lt;"&amp;$A163+1,检修计划!$G$2:$G$992,"&gt;"&amp;$A163,检修计划!$H$2:$H$992,1)</f>
        <v/>
      </c>
      <c r="E163" s="5">
        <f>COUNTIFS(检修计划!$E$2:$E$992,"4",检修计划!$F$2:$F$992,"&lt;"&amp;$A163+1,检修计划!$G$2:$G$992,"&gt;"&amp;$A163,检修计划!$H$2:$H$992,1)</f>
        <v/>
      </c>
      <c r="F163" s="5">
        <f>COUNTIFS(检修计划!$E$2:$E$992,"5",检修计划!$F$2:$F$992,"&lt;"&amp;$A163+1,检修计划!$G$2:$G$992,"&gt;"&amp;$A163,检修计划!$H$2:$H$992,1)</f>
        <v/>
      </c>
    </row>
    <row r="164" ht="23" customHeight="1">
      <c r="A164" s="9" t="n">
        <v>45089</v>
      </c>
      <c r="B164" s="5">
        <f>COUNTIFS(检修计划!$E$2:$E$992,"1",检修计划!$F$2:$F$992,"&lt;"&amp;$A164+1,检修计划!$G$2:$G$992,"&gt;"&amp;$A164,检修计划!$H$2:$H$992,1)</f>
        <v/>
      </c>
      <c r="C164" s="5">
        <f>COUNTIFS(检修计划!$E$2:$E$992,"2",检修计划!$F$2:$F$992,"&lt;"&amp;$A164+1,检修计划!$G$2:$G$992,"&gt;"&amp;$A164,检修计划!$H$2:$H$992,1)</f>
        <v/>
      </c>
      <c r="D164" s="5">
        <f>COUNTIFS(检修计划!$E$2:$E$992,"3",检修计划!$F$2:$F$992,"&lt;"&amp;$A164+1,检修计划!$G$2:$G$992,"&gt;"&amp;$A164,检修计划!$H$2:$H$992,1)</f>
        <v/>
      </c>
      <c r="E164" s="5">
        <f>COUNTIFS(检修计划!$E$2:$E$992,"4",检修计划!$F$2:$F$992,"&lt;"&amp;$A164+1,检修计划!$G$2:$G$992,"&gt;"&amp;$A164,检修计划!$H$2:$H$992,1)</f>
        <v/>
      </c>
      <c r="F164" s="5">
        <f>COUNTIFS(检修计划!$E$2:$E$992,"5",检修计划!$F$2:$F$992,"&lt;"&amp;$A164+1,检修计划!$G$2:$G$992,"&gt;"&amp;$A164,检修计划!$H$2:$H$992,1)</f>
        <v/>
      </c>
    </row>
    <row r="165" ht="23" customHeight="1">
      <c r="A165" s="9" t="n">
        <v>45090</v>
      </c>
      <c r="B165" s="5">
        <f>COUNTIFS(检修计划!$E$2:$E$992,"1",检修计划!$F$2:$F$992,"&lt;"&amp;$A165+1,检修计划!$G$2:$G$992,"&gt;"&amp;$A165,检修计划!$H$2:$H$992,1)</f>
        <v/>
      </c>
      <c r="C165" s="5">
        <f>COUNTIFS(检修计划!$E$2:$E$992,"2",检修计划!$F$2:$F$992,"&lt;"&amp;$A165+1,检修计划!$G$2:$G$992,"&gt;"&amp;$A165,检修计划!$H$2:$H$992,1)</f>
        <v/>
      </c>
      <c r="D165" s="5">
        <f>COUNTIFS(检修计划!$E$2:$E$992,"3",检修计划!$F$2:$F$992,"&lt;"&amp;$A165+1,检修计划!$G$2:$G$992,"&gt;"&amp;$A165,检修计划!$H$2:$H$992,1)</f>
        <v/>
      </c>
      <c r="E165" s="5">
        <f>COUNTIFS(检修计划!$E$2:$E$992,"4",检修计划!$F$2:$F$992,"&lt;"&amp;$A165+1,检修计划!$G$2:$G$992,"&gt;"&amp;$A165,检修计划!$H$2:$H$992,1)</f>
        <v/>
      </c>
      <c r="F165" s="5">
        <f>COUNTIFS(检修计划!$E$2:$E$992,"5",检修计划!$F$2:$F$992,"&lt;"&amp;$A165+1,检修计划!$G$2:$G$992,"&gt;"&amp;$A165,检修计划!$H$2:$H$992,1)</f>
        <v/>
      </c>
    </row>
    <row r="166" ht="23" customHeight="1">
      <c r="A166" s="9" t="n">
        <v>45091</v>
      </c>
      <c r="B166" s="5">
        <f>COUNTIFS(检修计划!$E$2:$E$992,"1",检修计划!$F$2:$F$992,"&lt;"&amp;$A166+1,检修计划!$G$2:$G$992,"&gt;"&amp;$A166,检修计划!$H$2:$H$992,1)</f>
        <v/>
      </c>
      <c r="C166" s="5">
        <f>COUNTIFS(检修计划!$E$2:$E$992,"2",检修计划!$F$2:$F$992,"&lt;"&amp;$A166+1,检修计划!$G$2:$G$992,"&gt;"&amp;$A166,检修计划!$H$2:$H$992,1)</f>
        <v/>
      </c>
      <c r="D166" s="5">
        <f>COUNTIFS(检修计划!$E$2:$E$992,"3",检修计划!$F$2:$F$992,"&lt;"&amp;$A166+1,检修计划!$G$2:$G$992,"&gt;"&amp;$A166,检修计划!$H$2:$H$992,1)</f>
        <v/>
      </c>
      <c r="E166" s="5">
        <f>COUNTIFS(检修计划!$E$2:$E$992,"4",检修计划!$F$2:$F$992,"&lt;"&amp;$A166+1,检修计划!$G$2:$G$992,"&gt;"&amp;$A166,检修计划!$H$2:$H$992,1)</f>
        <v/>
      </c>
      <c r="F166" s="5">
        <f>COUNTIFS(检修计划!$E$2:$E$992,"5",检修计划!$F$2:$F$992,"&lt;"&amp;$A166+1,检修计划!$G$2:$G$992,"&gt;"&amp;$A166,检修计划!$H$2:$H$992,1)</f>
        <v/>
      </c>
    </row>
    <row r="167" ht="23" customHeight="1">
      <c r="A167" s="9" t="n">
        <v>45092</v>
      </c>
      <c r="B167" s="5">
        <f>COUNTIFS(检修计划!$E$2:$E$992,"1",检修计划!$F$2:$F$992,"&lt;"&amp;$A167+1,检修计划!$G$2:$G$992,"&gt;"&amp;$A167,检修计划!$H$2:$H$992,1)</f>
        <v/>
      </c>
      <c r="C167" s="5">
        <f>COUNTIFS(检修计划!$E$2:$E$992,"2",检修计划!$F$2:$F$992,"&lt;"&amp;$A167+1,检修计划!$G$2:$G$992,"&gt;"&amp;$A167,检修计划!$H$2:$H$992,1)</f>
        <v/>
      </c>
      <c r="D167" s="5">
        <f>COUNTIFS(检修计划!$E$2:$E$992,"3",检修计划!$F$2:$F$992,"&lt;"&amp;$A167+1,检修计划!$G$2:$G$992,"&gt;"&amp;$A167,检修计划!$H$2:$H$992,1)</f>
        <v/>
      </c>
      <c r="E167" s="5">
        <f>COUNTIFS(检修计划!$E$2:$E$992,"4",检修计划!$F$2:$F$992,"&lt;"&amp;$A167+1,检修计划!$G$2:$G$992,"&gt;"&amp;$A167,检修计划!$H$2:$H$992,1)</f>
        <v/>
      </c>
      <c r="F167" s="5">
        <f>COUNTIFS(检修计划!$E$2:$E$992,"5",检修计划!$F$2:$F$992,"&lt;"&amp;$A167+1,检修计划!$G$2:$G$992,"&gt;"&amp;$A167,检修计划!$H$2:$H$992,1)</f>
        <v/>
      </c>
    </row>
    <row r="168" ht="23" customHeight="1">
      <c r="A168" s="9" t="n">
        <v>45093</v>
      </c>
      <c r="B168" s="5">
        <f>COUNTIFS(检修计划!$E$2:$E$992,"1",检修计划!$F$2:$F$992,"&lt;"&amp;$A168+1,检修计划!$G$2:$G$992,"&gt;"&amp;$A168,检修计划!$H$2:$H$992,1)</f>
        <v/>
      </c>
      <c r="C168" s="5">
        <f>COUNTIFS(检修计划!$E$2:$E$992,"2",检修计划!$F$2:$F$992,"&lt;"&amp;$A168+1,检修计划!$G$2:$G$992,"&gt;"&amp;$A168,检修计划!$H$2:$H$992,1)</f>
        <v/>
      </c>
      <c r="D168" s="5">
        <f>COUNTIFS(检修计划!$E$2:$E$992,"3",检修计划!$F$2:$F$992,"&lt;"&amp;$A168+1,检修计划!$G$2:$G$992,"&gt;"&amp;$A168,检修计划!$H$2:$H$992,1)</f>
        <v/>
      </c>
      <c r="E168" s="5">
        <f>COUNTIFS(检修计划!$E$2:$E$992,"4",检修计划!$F$2:$F$992,"&lt;"&amp;$A168+1,检修计划!$G$2:$G$992,"&gt;"&amp;$A168,检修计划!$H$2:$H$992,1)</f>
        <v/>
      </c>
      <c r="F168" s="5">
        <f>COUNTIFS(检修计划!$E$2:$E$992,"5",检修计划!$F$2:$F$992,"&lt;"&amp;$A168+1,检修计划!$G$2:$G$992,"&gt;"&amp;$A168,检修计划!$H$2:$H$992,1)</f>
        <v/>
      </c>
    </row>
    <row r="169" ht="23" customHeight="1">
      <c r="A169" s="9" t="n">
        <v>45094</v>
      </c>
      <c r="B169" s="5">
        <f>COUNTIFS(检修计划!$E$2:$E$992,"1",检修计划!$F$2:$F$992,"&lt;"&amp;$A169+1,检修计划!$G$2:$G$992,"&gt;"&amp;$A169,检修计划!$H$2:$H$992,1)</f>
        <v/>
      </c>
      <c r="C169" s="5">
        <f>COUNTIFS(检修计划!$E$2:$E$992,"2",检修计划!$F$2:$F$992,"&lt;"&amp;$A169+1,检修计划!$G$2:$G$992,"&gt;"&amp;$A169,检修计划!$H$2:$H$992,1)</f>
        <v/>
      </c>
      <c r="D169" s="5">
        <f>COUNTIFS(检修计划!$E$2:$E$992,"3",检修计划!$F$2:$F$992,"&lt;"&amp;$A169+1,检修计划!$G$2:$G$992,"&gt;"&amp;$A169,检修计划!$H$2:$H$992,1)</f>
        <v/>
      </c>
      <c r="E169" s="5">
        <f>COUNTIFS(检修计划!$E$2:$E$992,"4",检修计划!$F$2:$F$992,"&lt;"&amp;$A169+1,检修计划!$G$2:$G$992,"&gt;"&amp;$A169,检修计划!$H$2:$H$992,1)</f>
        <v/>
      </c>
      <c r="F169" s="5">
        <f>COUNTIFS(检修计划!$E$2:$E$992,"5",检修计划!$F$2:$F$992,"&lt;"&amp;$A169+1,检修计划!$G$2:$G$992,"&gt;"&amp;$A169,检修计划!$H$2:$H$992,1)</f>
        <v/>
      </c>
    </row>
    <row r="170" ht="23" customHeight="1">
      <c r="A170" s="9" t="n">
        <v>45095</v>
      </c>
      <c r="B170" s="5">
        <f>COUNTIFS(检修计划!$E$2:$E$992,"1",检修计划!$F$2:$F$992,"&lt;"&amp;$A170+1,检修计划!$G$2:$G$992,"&gt;"&amp;$A170,检修计划!$H$2:$H$992,1)</f>
        <v/>
      </c>
      <c r="C170" s="5">
        <f>COUNTIFS(检修计划!$E$2:$E$992,"2",检修计划!$F$2:$F$992,"&lt;"&amp;$A170+1,检修计划!$G$2:$G$992,"&gt;"&amp;$A170,检修计划!$H$2:$H$992,1)</f>
        <v/>
      </c>
      <c r="D170" s="5">
        <f>COUNTIFS(检修计划!$E$2:$E$992,"3",检修计划!$F$2:$F$992,"&lt;"&amp;$A170+1,检修计划!$G$2:$G$992,"&gt;"&amp;$A170,检修计划!$H$2:$H$992,1)</f>
        <v/>
      </c>
      <c r="E170" s="5">
        <f>COUNTIFS(检修计划!$E$2:$E$992,"4",检修计划!$F$2:$F$992,"&lt;"&amp;$A170+1,检修计划!$G$2:$G$992,"&gt;"&amp;$A170,检修计划!$H$2:$H$992,1)</f>
        <v/>
      </c>
      <c r="F170" s="5">
        <f>COUNTIFS(检修计划!$E$2:$E$992,"5",检修计划!$F$2:$F$992,"&lt;"&amp;$A170+1,检修计划!$G$2:$G$992,"&gt;"&amp;$A170,检修计划!$H$2:$H$992,1)</f>
        <v/>
      </c>
    </row>
    <row r="171" ht="23" customHeight="1">
      <c r="A171" s="9" t="n">
        <v>45096</v>
      </c>
      <c r="B171" s="5">
        <f>COUNTIFS(检修计划!$E$2:$E$992,"1",检修计划!$F$2:$F$992,"&lt;"&amp;$A171+1,检修计划!$G$2:$G$992,"&gt;"&amp;$A171,检修计划!$H$2:$H$992,1)</f>
        <v/>
      </c>
      <c r="C171" s="5">
        <f>COUNTIFS(检修计划!$E$2:$E$992,"2",检修计划!$F$2:$F$992,"&lt;"&amp;$A171+1,检修计划!$G$2:$G$992,"&gt;"&amp;$A171,检修计划!$H$2:$H$992,1)</f>
        <v/>
      </c>
      <c r="D171" s="5">
        <f>COUNTIFS(检修计划!$E$2:$E$992,"3",检修计划!$F$2:$F$992,"&lt;"&amp;$A171+1,检修计划!$G$2:$G$992,"&gt;"&amp;$A171,检修计划!$H$2:$H$992,1)</f>
        <v/>
      </c>
      <c r="E171" s="5">
        <f>COUNTIFS(检修计划!$E$2:$E$992,"4",检修计划!$F$2:$F$992,"&lt;"&amp;$A171+1,检修计划!$G$2:$G$992,"&gt;"&amp;$A171,检修计划!$H$2:$H$992,1)</f>
        <v/>
      </c>
      <c r="F171" s="5">
        <f>COUNTIFS(检修计划!$E$2:$E$992,"5",检修计划!$F$2:$F$992,"&lt;"&amp;$A171+1,检修计划!$G$2:$G$992,"&gt;"&amp;$A171,检修计划!$H$2:$H$992,1)</f>
        <v/>
      </c>
    </row>
    <row r="172" ht="23" customHeight="1">
      <c r="A172" s="9" t="n">
        <v>45097</v>
      </c>
      <c r="B172" s="5">
        <f>COUNTIFS(检修计划!$E$2:$E$992,"1",检修计划!$F$2:$F$992,"&lt;"&amp;$A172+1,检修计划!$G$2:$G$992,"&gt;"&amp;$A172,检修计划!$H$2:$H$992,1)</f>
        <v/>
      </c>
      <c r="C172" s="5">
        <f>COUNTIFS(检修计划!$E$2:$E$992,"2",检修计划!$F$2:$F$992,"&lt;"&amp;$A172+1,检修计划!$G$2:$G$992,"&gt;"&amp;$A172,检修计划!$H$2:$H$992,1)</f>
        <v/>
      </c>
      <c r="D172" s="5">
        <f>COUNTIFS(检修计划!$E$2:$E$992,"3",检修计划!$F$2:$F$992,"&lt;"&amp;$A172+1,检修计划!$G$2:$G$992,"&gt;"&amp;$A172,检修计划!$H$2:$H$992,1)</f>
        <v/>
      </c>
      <c r="E172" s="5">
        <f>COUNTIFS(检修计划!$E$2:$E$992,"4",检修计划!$F$2:$F$992,"&lt;"&amp;$A172+1,检修计划!$G$2:$G$992,"&gt;"&amp;$A172,检修计划!$H$2:$H$992,1)</f>
        <v/>
      </c>
      <c r="F172" s="5">
        <f>COUNTIFS(检修计划!$E$2:$E$992,"5",检修计划!$F$2:$F$992,"&lt;"&amp;$A172+1,检修计划!$G$2:$G$992,"&gt;"&amp;$A172,检修计划!$H$2:$H$992,1)</f>
        <v/>
      </c>
    </row>
    <row r="173" ht="23" customHeight="1">
      <c r="A173" s="9" t="n">
        <v>45098</v>
      </c>
      <c r="B173" s="5">
        <f>COUNTIFS(检修计划!$E$2:$E$992,"1",检修计划!$F$2:$F$992,"&lt;"&amp;$A173+1,检修计划!$G$2:$G$992,"&gt;"&amp;$A173,检修计划!$H$2:$H$992,1)</f>
        <v/>
      </c>
      <c r="C173" s="5">
        <f>COUNTIFS(检修计划!$E$2:$E$992,"2",检修计划!$F$2:$F$992,"&lt;"&amp;$A173+1,检修计划!$G$2:$G$992,"&gt;"&amp;$A173,检修计划!$H$2:$H$992,1)</f>
        <v/>
      </c>
      <c r="D173" s="5">
        <f>COUNTIFS(检修计划!$E$2:$E$992,"3",检修计划!$F$2:$F$992,"&lt;"&amp;$A173+1,检修计划!$G$2:$G$992,"&gt;"&amp;$A173,检修计划!$H$2:$H$992,1)</f>
        <v/>
      </c>
      <c r="E173" s="5">
        <f>COUNTIFS(检修计划!$E$2:$E$992,"4",检修计划!$F$2:$F$992,"&lt;"&amp;$A173+1,检修计划!$G$2:$G$992,"&gt;"&amp;$A173,检修计划!$H$2:$H$992,1)</f>
        <v/>
      </c>
      <c r="F173" s="5">
        <f>COUNTIFS(检修计划!$E$2:$E$992,"5",检修计划!$F$2:$F$992,"&lt;"&amp;$A173+1,检修计划!$G$2:$G$992,"&gt;"&amp;$A173,检修计划!$H$2:$H$992,1)</f>
        <v/>
      </c>
    </row>
    <row r="174" ht="23" customHeight="1">
      <c r="A174" s="9" t="n">
        <v>45099</v>
      </c>
      <c r="B174" s="5">
        <f>COUNTIFS(检修计划!$E$2:$E$992,"1",检修计划!$F$2:$F$992,"&lt;"&amp;$A174+1,检修计划!$G$2:$G$992,"&gt;"&amp;$A174,检修计划!$H$2:$H$992,1)</f>
        <v/>
      </c>
      <c r="C174" s="5">
        <f>COUNTIFS(检修计划!$E$2:$E$992,"2",检修计划!$F$2:$F$992,"&lt;"&amp;$A174+1,检修计划!$G$2:$G$992,"&gt;"&amp;$A174,检修计划!$H$2:$H$992,1)</f>
        <v/>
      </c>
      <c r="D174" s="5">
        <f>COUNTIFS(检修计划!$E$2:$E$992,"3",检修计划!$F$2:$F$992,"&lt;"&amp;$A174+1,检修计划!$G$2:$G$992,"&gt;"&amp;$A174,检修计划!$H$2:$H$992,1)</f>
        <v/>
      </c>
      <c r="E174" s="5">
        <f>COUNTIFS(检修计划!$E$2:$E$992,"4",检修计划!$F$2:$F$992,"&lt;"&amp;$A174+1,检修计划!$G$2:$G$992,"&gt;"&amp;$A174,检修计划!$H$2:$H$992,1)</f>
        <v/>
      </c>
      <c r="F174" s="5">
        <f>COUNTIFS(检修计划!$E$2:$E$992,"5",检修计划!$F$2:$F$992,"&lt;"&amp;$A174+1,检修计划!$G$2:$G$992,"&gt;"&amp;$A174,检修计划!$H$2:$H$992,1)</f>
        <v/>
      </c>
    </row>
    <row r="175" ht="23" customHeight="1">
      <c r="A175" s="9" t="n">
        <v>45100</v>
      </c>
      <c r="B175" s="5">
        <f>COUNTIFS(检修计划!$E$2:$E$992,"1",检修计划!$F$2:$F$992,"&lt;"&amp;$A175+1,检修计划!$G$2:$G$992,"&gt;"&amp;$A175,检修计划!$H$2:$H$992,1)</f>
        <v/>
      </c>
      <c r="C175" s="5">
        <f>COUNTIFS(检修计划!$E$2:$E$992,"2",检修计划!$F$2:$F$992,"&lt;"&amp;$A175+1,检修计划!$G$2:$G$992,"&gt;"&amp;$A175,检修计划!$H$2:$H$992,1)</f>
        <v/>
      </c>
      <c r="D175" s="5">
        <f>COUNTIFS(检修计划!$E$2:$E$992,"3",检修计划!$F$2:$F$992,"&lt;"&amp;$A175+1,检修计划!$G$2:$G$992,"&gt;"&amp;$A175,检修计划!$H$2:$H$992,1)</f>
        <v/>
      </c>
      <c r="E175" s="5">
        <f>COUNTIFS(检修计划!$E$2:$E$992,"4",检修计划!$F$2:$F$992,"&lt;"&amp;$A175+1,检修计划!$G$2:$G$992,"&gt;"&amp;$A175,检修计划!$H$2:$H$992,1)</f>
        <v/>
      </c>
      <c r="F175" s="5">
        <f>COUNTIFS(检修计划!$E$2:$E$992,"5",检修计划!$F$2:$F$992,"&lt;"&amp;$A175+1,检修计划!$G$2:$G$992,"&gt;"&amp;$A175,检修计划!$H$2:$H$992,1)</f>
        <v/>
      </c>
    </row>
    <row r="176" ht="23" customHeight="1">
      <c r="A176" s="9" t="n">
        <v>45101</v>
      </c>
      <c r="B176" s="5">
        <f>COUNTIFS(检修计划!$E$2:$E$992,"1",检修计划!$F$2:$F$992,"&lt;"&amp;$A176+1,检修计划!$G$2:$G$992,"&gt;"&amp;$A176,检修计划!$H$2:$H$992,1)</f>
        <v/>
      </c>
      <c r="C176" s="5">
        <f>COUNTIFS(检修计划!$E$2:$E$992,"2",检修计划!$F$2:$F$992,"&lt;"&amp;$A176+1,检修计划!$G$2:$G$992,"&gt;"&amp;$A176,检修计划!$H$2:$H$992,1)</f>
        <v/>
      </c>
      <c r="D176" s="5">
        <f>COUNTIFS(检修计划!$E$2:$E$992,"3",检修计划!$F$2:$F$992,"&lt;"&amp;$A176+1,检修计划!$G$2:$G$992,"&gt;"&amp;$A176,检修计划!$H$2:$H$992,1)</f>
        <v/>
      </c>
      <c r="E176" s="5">
        <f>COUNTIFS(检修计划!$E$2:$E$992,"4",检修计划!$F$2:$F$992,"&lt;"&amp;$A176+1,检修计划!$G$2:$G$992,"&gt;"&amp;$A176,检修计划!$H$2:$H$992,1)</f>
        <v/>
      </c>
      <c r="F176" s="5">
        <f>COUNTIFS(检修计划!$E$2:$E$992,"5",检修计划!$F$2:$F$992,"&lt;"&amp;$A176+1,检修计划!$G$2:$G$992,"&gt;"&amp;$A176,检修计划!$H$2:$H$992,1)</f>
        <v/>
      </c>
    </row>
    <row r="177" ht="23" customHeight="1">
      <c r="A177" s="9" t="n">
        <v>45102</v>
      </c>
      <c r="B177" s="5">
        <f>COUNTIFS(检修计划!$E$2:$E$992,"1",检修计划!$F$2:$F$992,"&lt;"&amp;$A177+1,检修计划!$G$2:$G$992,"&gt;"&amp;$A177,检修计划!$H$2:$H$992,1)</f>
        <v/>
      </c>
      <c r="C177" s="5">
        <f>COUNTIFS(检修计划!$E$2:$E$992,"2",检修计划!$F$2:$F$992,"&lt;"&amp;$A177+1,检修计划!$G$2:$G$992,"&gt;"&amp;$A177,检修计划!$H$2:$H$992,1)</f>
        <v/>
      </c>
      <c r="D177" s="5">
        <f>COUNTIFS(检修计划!$E$2:$E$992,"3",检修计划!$F$2:$F$992,"&lt;"&amp;$A177+1,检修计划!$G$2:$G$992,"&gt;"&amp;$A177,检修计划!$H$2:$H$992,1)</f>
        <v/>
      </c>
      <c r="E177" s="5">
        <f>COUNTIFS(检修计划!$E$2:$E$992,"4",检修计划!$F$2:$F$992,"&lt;"&amp;$A177+1,检修计划!$G$2:$G$992,"&gt;"&amp;$A177,检修计划!$H$2:$H$992,1)</f>
        <v/>
      </c>
      <c r="F177" s="5">
        <f>COUNTIFS(检修计划!$E$2:$E$992,"5",检修计划!$F$2:$F$992,"&lt;"&amp;$A177+1,检修计划!$G$2:$G$992,"&gt;"&amp;$A177,检修计划!$H$2:$H$992,1)</f>
        <v/>
      </c>
    </row>
    <row r="178" ht="23" customHeight="1">
      <c r="A178" s="9" t="n">
        <v>45103</v>
      </c>
      <c r="B178" s="5">
        <f>COUNTIFS(检修计划!$E$2:$E$992,"1",检修计划!$F$2:$F$992,"&lt;"&amp;$A178+1,检修计划!$G$2:$G$992,"&gt;"&amp;$A178,检修计划!$H$2:$H$992,1)</f>
        <v/>
      </c>
      <c r="C178" s="5">
        <f>COUNTIFS(检修计划!$E$2:$E$992,"2",检修计划!$F$2:$F$992,"&lt;"&amp;$A178+1,检修计划!$G$2:$G$992,"&gt;"&amp;$A178,检修计划!$H$2:$H$992,1)</f>
        <v/>
      </c>
      <c r="D178" s="5">
        <f>COUNTIFS(检修计划!$E$2:$E$992,"3",检修计划!$F$2:$F$992,"&lt;"&amp;$A178+1,检修计划!$G$2:$G$992,"&gt;"&amp;$A178,检修计划!$H$2:$H$992,1)</f>
        <v/>
      </c>
      <c r="E178" s="5">
        <f>COUNTIFS(检修计划!$E$2:$E$992,"4",检修计划!$F$2:$F$992,"&lt;"&amp;$A178+1,检修计划!$G$2:$G$992,"&gt;"&amp;$A178,检修计划!$H$2:$H$992,1)</f>
        <v/>
      </c>
      <c r="F178" s="5">
        <f>COUNTIFS(检修计划!$E$2:$E$992,"5",检修计划!$F$2:$F$992,"&lt;"&amp;$A178+1,检修计划!$G$2:$G$992,"&gt;"&amp;$A178,检修计划!$H$2:$H$992,1)</f>
        <v/>
      </c>
    </row>
    <row r="179" ht="23" customHeight="1">
      <c r="A179" s="9" t="n">
        <v>45104</v>
      </c>
      <c r="B179" s="5">
        <f>COUNTIFS(检修计划!$E$2:$E$992,"1",检修计划!$F$2:$F$992,"&lt;"&amp;$A179+1,检修计划!$G$2:$G$992,"&gt;"&amp;$A179,检修计划!$H$2:$H$992,1)</f>
        <v/>
      </c>
      <c r="C179" s="5">
        <f>COUNTIFS(检修计划!$E$2:$E$992,"2",检修计划!$F$2:$F$992,"&lt;"&amp;$A179+1,检修计划!$G$2:$G$992,"&gt;"&amp;$A179,检修计划!$H$2:$H$992,1)</f>
        <v/>
      </c>
      <c r="D179" s="5">
        <f>COUNTIFS(检修计划!$E$2:$E$992,"3",检修计划!$F$2:$F$992,"&lt;"&amp;$A179+1,检修计划!$G$2:$G$992,"&gt;"&amp;$A179,检修计划!$H$2:$H$992,1)</f>
        <v/>
      </c>
      <c r="E179" s="5">
        <f>COUNTIFS(检修计划!$E$2:$E$992,"4",检修计划!$F$2:$F$992,"&lt;"&amp;$A179+1,检修计划!$G$2:$G$992,"&gt;"&amp;$A179,检修计划!$H$2:$H$992,1)</f>
        <v/>
      </c>
      <c r="F179" s="5">
        <f>COUNTIFS(检修计划!$E$2:$E$992,"5",检修计划!$F$2:$F$992,"&lt;"&amp;$A179+1,检修计划!$G$2:$G$992,"&gt;"&amp;$A179,检修计划!$H$2:$H$992,1)</f>
        <v/>
      </c>
    </row>
    <row r="180" ht="23" customHeight="1">
      <c r="A180" s="9" t="n">
        <v>45105</v>
      </c>
      <c r="B180" s="5">
        <f>COUNTIFS(检修计划!$E$2:$E$992,"1",检修计划!$F$2:$F$992,"&lt;"&amp;$A180+1,检修计划!$G$2:$G$992,"&gt;"&amp;$A180,检修计划!$H$2:$H$992,1)</f>
        <v/>
      </c>
      <c r="C180" s="5">
        <f>COUNTIFS(检修计划!$E$2:$E$992,"2",检修计划!$F$2:$F$992,"&lt;"&amp;$A180+1,检修计划!$G$2:$G$992,"&gt;"&amp;$A180,检修计划!$H$2:$H$992,1)</f>
        <v/>
      </c>
      <c r="D180" s="5">
        <f>COUNTIFS(检修计划!$E$2:$E$992,"3",检修计划!$F$2:$F$992,"&lt;"&amp;$A180+1,检修计划!$G$2:$G$992,"&gt;"&amp;$A180,检修计划!$H$2:$H$992,1)</f>
        <v/>
      </c>
      <c r="E180" s="5">
        <f>COUNTIFS(检修计划!$E$2:$E$992,"4",检修计划!$F$2:$F$992,"&lt;"&amp;$A180+1,检修计划!$G$2:$G$992,"&gt;"&amp;$A180,检修计划!$H$2:$H$992,1)</f>
        <v/>
      </c>
      <c r="F180" s="5">
        <f>COUNTIFS(检修计划!$E$2:$E$992,"5",检修计划!$F$2:$F$992,"&lt;"&amp;$A180+1,检修计划!$G$2:$G$992,"&gt;"&amp;$A180,检修计划!$H$2:$H$992,1)</f>
        <v/>
      </c>
    </row>
    <row r="181" ht="23" customHeight="1">
      <c r="A181" s="9" t="n">
        <v>45106</v>
      </c>
      <c r="B181" s="5">
        <f>COUNTIFS(检修计划!$E$2:$E$992,"1",检修计划!$F$2:$F$992,"&lt;"&amp;$A181+1,检修计划!$G$2:$G$992,"&gt;"&amp;$A181,检修计划!$H$2:$H$992,1)</f>
        <v/>
      </c>
      <c r="C181" s="5">
        <f>COUNTIFS(检修计划!$E$2:$E$992,"2",检修计划!$F$2:$F$992,"&lt;"&amp;$A181+1,检修计划!$G$2:$G$992,"&gt;"&amp;$A181,检修计划!$H$2:$H$992,1)</f>
        <v/>
      </c>
      <c r="D181" s="5">
        <f>COUNTIFS(检修计划!$E$2:$E$992,"3",检修计划!$F$2:$F$992,"&lt;"&amp;$A181+1,检修计划!$G$2:$G$992,"&gt;"&amp;$A181,检修计划!$H$2:$H$992,1)</f>
        <v/>
      </c>
      <c r="E181" s="5">
        <f>COUNTIFS(检修计划!$E$2:$E$992,"4",检修计划!$F$2:$F$992,"&lt;"&amp;$A181+1,检修计划!$G$2:$G$992,"&gt;"&amp;$A181,检修计划!$H$2:$H$992,1)</f>
        <v/>
      </c>
      <c r="F181" s="5">
        <f>COUNTIFS(检修计划!$E$2:$E$992,"5",检修计划!$F$2:$F$992,"&lt;"&amp;$A181+1,检修计划!$G$2:$G$992,"&gt;"&amp;$A181,检修计划!$H$2:$H$992,1)</f>
        <v/>
      </c>
    </row>
    <row r="182" ht="23" customHeight="1">
      <c r="A182" s="9" t="n">
        <v>45107</v>
      </c>
      <c r="B182" s="5">
        <f>COUNTIFS(检修计划!$E$2:$E$992,"1",检修计划!$F$2:$F$992,"&lt;"&amp;$A182+1,检修计划!$G$2:$G$992,"&gt;"&amp;$A182,检修计划!$H$2:$H$992,1)</f>
        <v/>
      </c>
      <c r="C182" s="5">
        <f>COUNTIFS(检修计划!$E$2:$E$992,"2",检修计划!$F$2:$F$992,"&lt;"&amp;$A182+1,检修计划!$G$2:$G$992,"&gt;"&amp;$A182,检修计划!$H$2:$H$992,1)</f>
        <v/>
      </c>
      <c r="D182" s="5">
        <f>COUNTIFS(检修计划!$E$2:$E$992,"3",检修计划!$F$2:$F$992,"&lt;"&amp;$A182+1,检修计划!$G$2:$G$992,"&gt;"&amp;$A182,检修计划!$H$2:$H$992,1)</f>
        <v/>
      </c>
      <c r="E182" s="5">
        <f>COUNTIFS(检修计划!$E$2:$E$992,"4",检修计划!$F$2:$F$992,"&lt;"&amp;$A182+1,检修计划!$G$2:$G$992,"&gt;"&amp;$A182,检修计划!$H$2:$H$992,1)</f>
        <v/>
      </c>
      <c r="F182" s="5">
        <f>COUNTIFS(检修计划!$E$2:$E$992,"5",检修计划!$F$2:$F$992,"&lt;"&amp;$A182+1,检修计划!$G$2:$G$992,"&gt;"&amp;$A182,检修计划!$H$2:$H$992,1)</f>
        <v/>
      </c>
    </row>
    <row r="183" ht="23" customHeight="1">
      <c r="A183" s="9" t="n">
        <v>45108</v>
      </c>
      <c r="B183" s="5">
        <f>COUNTIFS(检修计划!$E$2:$E$992,"1",检修计划!$F$2:$F$992,"&lt;"&amp;$A183+1,检修计划!$G$2:$G$992,"&gt;"&amp;$A183,检修计划!$H$2:$H$992,1)</f>
        <v/>
      </c>
      <c r="C183" s="5">
        <f>COUNTIFS(检修计划!$E$2:$E$992,"2",检修计划!$F$2:$F$992,"&lt;"&amp;$A183+1,检修计划!$G$2:$G$992,"&gt;"&amp;$A183,检修计划!$H$2:$H$992,1)</f>
        <v/>
      </c>
      <c r="D183" s="5">
        <f>COUNTIFS(检修计划!$E$2:$E$992,"3",检修计划!$F$2:$F$992,"&lt;"&amp;$A183+1,检修计划!$G$2:$G$992,"&gt;"&amp;$A183,检修计划!$H$2:$H$992,1)</f>
        <v/>
      </c>
      <c r="E183" s="5">
        <f>COUNTIFS(检修计划!$E$2:$E$992,"4",检修计划!$F$2:$F$992,"&lt;"&amp;$A183+1,检修计划!$G$2:$G$992,"&gt;"&amp;$A183,检修计划!$H$2:$H$992,1)</f>
        <v/>
      </c>
      <c r="F183" s="5">
        <f>COUNTIFS(检修计划!$E$2:$E$992,"5",检修计划!$F$2:$F$992,"&lt;"&amp;$A183+1,检修计划!$G$2:$G$992,"&gt;"&amp;$A183,检修计划!$H$2:$H$992,1)</f>
        <v/>
      </c>
    </row>
    <row r="184" ht="23" customHeight="1">
      <c r="A184" s="9" t="n">
        <v>45109</v>
      </c>
      <c r="B184" s="5">
        <f>COUNTIFS(检修计划!$E$2:$E$992,"1",检修计划!$F$2:$F$992,"&lt;"&amp;$A184+1,检修计划!$G$2:$G$992,"&gt;"&amp;$A184,检修计划!$H$2:$H$992,1)</f>
        <v/>
      </c>
      <c r="C184" s="5">
        <f>COUNTIFS(检修计划!$E$2:$E$992,"2",检修计划!$F$2:$F$992,"&lt;"&amp;$A184+1,检修计划!$G$2:$G$992,"&gt;"&amp;$A184,检修计划!$H$2:$H$992,1)</f>
        <v/>
      </c>
      <c r="D184" s="5">
        <f>COUNTIFS(检修计划!$E$2:$E$992,"3",检修计划!$F$2:$F$992,"&lt;"&amp;$A184+1,检修计划!$G$2:$G$992,"&gt;"&amp;$A184,检修计划!$H$2:$H$992,1)</f>
        <v/>
      </c>
      <c r="E184" s="5">
        <f>COUNTIFS(检修计划!$E$2:$E$992,"4",检修计划!$F$2:$F$992,"&lt;"&amp;$A184+1,检修计划!$G$2:$G$992,"&gt;"&amp;$A184,检修计划!$H$2:$H$992,1)</f>
        <v/>
      </c>
      <c r="F184" s="5">
        <f>COUNTIFS(检修计划!$E$2:$E$992,"5",检修计划!$F$2:$F$992,"&lt;"&amp;$A184+1,检修计划!$G$2:$G$992,"&gt;"&amp;$A184,检修计划!$H$2:$H$992,1)</f>
        <v/>
      </c>
    </row>
    <row r="185" ht="23" customHeight="1">
      <c r="A185" s="9" t="n">
        <v>45110</v>
      </c>
      <c r="B185" s="5">
        <f>COUNTIFS(检修计划!$E$2:$E$992,"1",检修计划!$F$2:$F$992,"&lt;"&amp;$A185+1,检修计划!$G$2:$G$992,"&gt;"&amp;$A185,检修计划!$H$2:$H$992,1)</f>
        <v/>
      </c>
      <c r="C185" s="5">
        <f>COUNTIFS(检修计划!$E$2:$E$992,"2",检修计划!$F$2:$F$992,"&lt;"&amp;$A185+1,检修计划!$G$2:$G$992,"&gt;"&amp;$A185,检修计划!$H$2:$H$992,1)</f>
        <v/>
      </c>
      <c r="D185" s="5">
        <f>COUNTIFS(检修计划!$E$2:$E$992,"3",检修计划!$F$2:$F$992,"&lt;"&amp;$A185+1,检修计划!$G$2:$G$992,"&gt;"&amp;$A185,检修计划!$H$2:$H$992,1)</f>
        <v/>
      </c>
      <c r="E185" s="5">
        <f>COUNTIFS(检修计划!$E$2:$E$992,"4",检修计划!$F$2:$F$992,"&lt;"&amp;$A185+1,检修计划!$G$2:$G$992,"&gt;"&amp;$A185,检修计划!$H$2:$H$992,1)</f>
        <v/>
      </c>
      <c r="F185" s="5">
        <f>COUNTIFS(检修计划!$E$2:$E$992,"5",检修计划!$F$2:$F$992,"&lt;"&amp;$A185+1,检修计划!$G$2:$G$992,"&gt;"&amp;$A185,检修计划!$H$2:$H$992,1)</f>
        <v/>
      </c>
    </row>
    <row r="186" ht="23" customHeight="1">
      <c r="A186" s="9" t="n">
        <v>45111</v>
      </c>
      <c r="B186" s="5">
        <f>COUNTIFS(检修计划!$E$2:$E$992,"1",检修计划!$F$2:$F$992,"&lt;"&amp;$A186+1,检修计划!$G$2:$G$992,"&gt;"&amp;$A186,检修计划!$H$2:$H$992,1)</f>
        <v/>
      </c>
      <c r="C186" s="5">
        <f>COUNTIFS(检修计划!$E$2:$E$992,"2",检修计划!$F$2:$F$992,"&lt;"&amp;$A186+1,检修计划!$G$2:$G$992,"&gt;"&amp;$A186,检修计划!$H$2:$H$992,1)</f>
        <v/>
      </c>
      <c r="D186" s="5">
        <f>COUNTIFS(检修计划!$E$2:$E$992,"3",检修计划!$F$2:$F$992,"&lt;"&amp;$A186+1,检修计划!$G$2:$G$992,"&gt;"&amp;$A186,检修计划!$H$2:$H$992,1)</f>
        <v/>
      </c>
      <c r="E186" s="5">
        <f>COUNTIFS(检修计划!$E$2:$E$992,"4",检修计划!$F$2:$F$992,"&lt;"&amp;$A186+1,检修计划!$G$2:$G$992,"&gt;"&amp;$A186,检修计划!$H$2:$H$992,1)</f>
        <v/>
      </c>
      <c r="F186" s="5">
        <f>COUNTIFS(检修计划!$E$2:$E$992,"5",检修计划!$F$2:$F$992,"&lt;"&amp;$A186+1,检修计划!$G$2:$G$992,"&gt;"&amp;$A186,检修计划!$H$2:$H$992,1)</f>
        <v/>
      </c>
    </row>
    <row r="187" ht="23" customHeight="1">
      <c r="A187" s="9" t="n">
        <v>45112</v>
      </c>
      <c r="B187" s="5">
        <f>COUNTIFS(检修计划!$E$2:$E$992,"1",检修计划!$F$2:$F$992,"&lt;"&amp;$A187+1,检修计划!$G$2:$G$992,"&gt;"&amp;$A187,检修计划!$H$2:$H$992,1)</f>
        <v/>
      </c>
      <c r="C187" s="5">
        <f>COUNTIFS(检修计划!$E$2:$E$992,"2",检修计划!$F$2:$F$992,"&lt;"&amp;$A187+1,检修计划!$G$2:$G$992,"&gt;"&amp;$A187,检修计划!$H$2:$H$992,1)</f>
        <v/>
      </c>
      <c r="D187" s="5">
        <f>COUNTIFS(检修计划!$E$2:$E$992,"3",检修计划!$F$2:$F$992,"&lt;"&amp;$A187+1,检修计划!$G$2:$G$992,"&gt;"&amp;$A187,检修计划!$H$2:$H$992,1)</f>
        <v/>
      </c>
      <c r="E187" s="5">
        <f>COUNTIFS(检修计划!$E$2:$E$992,"4",检修计划!$F$2:$F$992,"&lt;"&amp;$A187+1,检修计划!$G$2:$G$992,"&gt;"&amp;$A187,检修计划!$H$2:$H$992,1)</f>
        <v/>
      </c>
      <c r="F187" s="5">
        <f>COUNTIFS(检修计划!$E$2:$E$992,"5",检修计划!$F$2:$F$992,"&lt;"&amp;$A187+1,检修计划!$G$2:$G$992,"&gt;"&amp;$A187,检修计划!$H$2:$H$992,1)</f>
        <v/>
      </c>
    </row>
    <row r="188" ht="23" customHeight="1">
      <c r="A188" s="9" t="n">
        <v>45113</v>
      </c>
      <c r="B188" s="5">
        <f>COUNTIFS(检修计划!$E$2:$E$992,"1",检修计划!$F$2:$F$992,"&lt;"&amp;$A188+1,检修计划!$G$2:$G$992,"&gt;"&amp;$A188,检修计划!$H$2:$H$992,1)</f>
        <v/>
      </c>
      <c r="C188" s="5">
        <f>COUNTIFS(检修计划!$E$2:$E$992,"2",检修计划!$F$2:$F$992,"&lt;"&amp;$A188+1,检修计划!$G$2:$G$992,"&gt;"&amp;$A188,检修计划!$H$2:$H$992,1)</f>
        <v/>
      </c>
      <c r="D188" s="5">
        <f>COUNTIFS(检修计划!$E$2:$E$992,"3",检修计划!$F$2:$F$992,"&lt;"&amp;$A188+1,检修计划!$G$2:$G$992,"&gt;"&amp;$A188,检修计划!$H$2:$H$992,1)</f>
        <v/>
      </c>
      <c r="E188" s="5">
        <f>COUNTIFS(检修计划!$E$2:$E$992,"4",检修计划!$F$2:$F$992,"&lt;"&amp;$A188+1,检修计划!$G$2:$G$992,"&gt;"&amp;$A188,检修计划!$H$2:$H$992,1)</f>
        <v/>
      </c>
      <c r="F188" s="5">
        <f>COUNTIFS(检修计划!$E$2:$E$992,"5",检修计划!$F$2:$F$992,"&lt;"&amp;$A188+1,检修计划!$G$2:$G$992,"&gt;"&amp;$A188,检修计划!$H$2:$H$992,1)</f>
        <v/>
      </c>
    </row>
    <row r="189" ht="23" customHeight="1">
      <c r="A189" s="9" t="n">
        <v>45114</v>
      </c>
      <c r="B189" s="5">
        <f>COUNTIFS(检修计划!$E$2:$E$992,"1",检修计划!$F$2:$F$992,"&lt;"&amp;$A189+1,检修计划!$G$2:$G$992,"&gt;"&amp;$A189,检修计划!$H$2:$H$992,1)</f>
        <v/>
      </c>
      <c r="C189" s="5">
        <f>COUNTIFS(检修计划!$E$2:$E$992,"2",检修计划!$F$2:$F$992,"&lt;"&amp;$A189+1,检修计划!$G$2:$G$992,"&gt;"&amp;$A189,检修计划!$H$2:$H$992,1)</f>
        <v/>
      </c>
      <c r="D189" s="5">
        <f>COUNTIFS(检修计划!$E$2:$E$992,"3",检修计划!$F$2:$F$992,"&lt;"&amp;$A189+1,检修计划!$G$2:$G$992,"&gt;"&amp;$A189,检修计划!$H$2:$H$992,1)</f>
        <v/>
      </c>
      <c r="E189" s="5">
        <f>COUNTIFS(检修计划!$E$2:$E$992,"4",检修计划!$F$2:$F$992,"&lt;"&amp;$A189+1,检修计划!$G$2:$G$992,"&gt;"&amp;$A189,检修计划!$H$2:$H$992,1)</f>
        <v/>
      </c>
      <c r="F189" s="5">
        <f>COUNTIFS(检修计划!$E$2:$E$992,"5",检修计划!$F$2:$F$992,"&lt;"&amp;$A189+1,检修计划!$G$2:$G$992,"&gt;"&amp;$A189,检修计划!$H$2:$H$992,1)</f>
        <v/>
      </c>
    </row>
    <row r="190" ht="23" customHeight="1">
      <c r="A190" s="9" t="n">
        <v>45115</v>
      </c>
      <c r="B190" s="5">
        <f>COUNTIFS(检修计划!$E$2:$E$992,"1",检修计划!$F$2:$F$992,"&lt;"&amp;$A190+1,检修计划!$G$2:$G$992,"&gt;"&amp;$A190,检修计划!$H$2:$H$992,1)</f>
        <v/>
      </c>
      <c r="C190" s="5">
        <f>COUNTIFS(检修计划!$E$2:$E$992,"2",检修计划!$F$2:$F$992,"&lt;"&amp;$A190+1,检修计划!$G$2:$G$992,"&gt;"&amp;$A190,检修计划!$H$2:$H$992,1)</f>
        <v/>
      </c>
      <c r="D190" s="5">
        <f>COUNTIFS(检修计划!$E$2:$E$992,"3",检修计划!$F$2:$F$992,"&lt;"&amp;$A190+1,检修计划!$G$2:$G$992,"&gt;"&amp;$A190,检修计划!$H$2:$H$992,1)</f>
        <v/>
      </c>
      <c r="E190" s="5">
        <f>COUNTIFS(检修计划!$E$2:$E$992,"4",检修计划!$F$2:$F$992,"&lt;"&amp;$A190+1,检修计划!$G$2:$G$992,"&gt;"&amp;$A190,检修计划!$H$2:$H$992,1)</f>
        <v/>
      </c>
      <c r="F190" s="5">
        <f>COUNTIFS(检修计划!$E$2:$E$992,"5",检修计划!$F$2:$F$992,"&lt;"&amp;$A190+1,检修计划!$G$2:$G$992,"&gt;"&amp;$A190,检修计划!$H$2:$H$992,1)</f>
        <v/>
      </c>
    </row>
    <row r="191" ht="23" customHeight="1">
      <c r="A191" s="9" t="n">
        <v>45116</v>
      </c>
      <c r="B191" s="5">
        <f>COUNTIFS(检修计划!$E$2:$E$992,"1",检修计划!$F$2:$F$992,"&lt;"&amp;$A191+1,检修计划!$G$2:$G$992,"&gt;"&amp;$A191,检修计划!$H$2:$H$992,1)</f>
        <v/>
      </c>
      <c r="C191" s="5">
        <f>COUNTIFS(检修计划!$E$2:$E$992,"2",检修计划!$F$2:$F$992,"&lt;"&amp;$A191+1,检修计划!$G$2:$G$992,"&gt;"&amp;$A191,检修计划!$H$2:$H$992,1)</f>
        <v/>
      </c>
      <c r="D191" s="5">
        <f>COUNTIFS(检修计划!$E$2:$E$992,"3",检修计划!$F$2:$F$992,"&lt;"&amp;$A191+1,检修计划!$G$2:$G$992,"&gt;"&amp;$A191,检修计划!$H$2:$H$992,1)</f>
        <v/>
      </c>
      <c r="E191" s="5">
        <f>COUNTIFS(检修计划!$E$2:$E$992,"4",检修计划!$F$2:$F$992,"&lt;"&amp;$A191+1,检修计划!$G$2:$G$992,"&gt;"&amp;$A191,检修计划!$H$2:$H$992,1)</f>
        <v/>
      </c>
      <c r="F191" s="5">
        <f>COUNTIFS(检修计划!$E$2:$E$992,"5",检修计划!$F$2:$F$992,"&lt;"&amp;$A191+1,检修计划!$G$2:$G$992,"&gt;"&amp;$A191,检修计划!$H$2:$H$992,1)</f>
        <v/>
      </c>
    </row>
    <row r="192" ht="23" customHeight="1">
      <c r="A192" s="9" t="n">
        <v>45117</v>
      </c>
      <c r="B192" s="5">
        <f>COUNTIFS(检修计划!$E$2:$E$992,"1",检修计划!$F$2:$F$992,"&lt;"&amp;$A192+1,检修计划!$G$2:$G$992,"&gt;"&amp;$A192,检修计划!$H$2:$H$992,1)</f>
        <v/>
      </c>
      <c r="C192" s="5">
        <f>COUNTIFS(检修计划!$E$2:$E$992,"2",检修计划!$F$2:$F$992,"&lt;"&amp;$A192+1,检修计划!$G$2:$G$992,"&gt;"&amp;$A192,检修计划!$H$2:$H$992,1)</f>
        <v/>
      </c>
      <c r="D192" s="5">
        <f>COUNTIFS(检修计划!$E$2:$E$992,"3",检修计划!$F$2:$F$992,"&lt;"&amp;$A192+1,检修计划!$G$2:$G$992,"&gt;"&amp;$A192,检修计划!$H$2:$H$992,1)</f>
        <v/>
      </c>
      <c r="E192" s="5">
        <f>COUNTIFS(检修计划!$E$2:$E$992,"4",检修计划!$F$2:$F$992,"&lt;"&amp;$A192+1,检修计划!$G$2:$G$992,"&gt;"&amp;$A192,检修计划!$H$2:$H$992,1)</f>
        <v/>
      </c>
      <c r="F192" s="5">
        <f>COUNTIFS(检修计划!$E$2:$E$992,"5",检修计划!$F$2:$F$992,"&lt;"&amp;$A192+1,检修计划!$G$2:$G$992,"&gt;"&amp;$A192,检修计划!$H$2:$H$992,1)</f>
        <v/>
      </c>
    </row>
    <row r="193" ht="23" customHeight="1">
      <c r="A193" s="9" t="n">
        <v>45118</v>
      </c>
      <c r="B193" s="5">
        <f>COUNTIFS(检修计划!$E$2:$E$992,"1",检修计划!$F$2:$F$992,"&lt;"&amp;$A193+1,检修计划!$G$2:$G$992,"&gt;"&amp;$A193,检修计划!$H$2:$H$992,1)</f>
        <v/>
      </c>
      <c r="C193" s="5">
        <f>COUNTIFS(检修计划!$E$2:$E$992,"2",检修计划!$F$2:$F$992,"&lt;"&amp;$A193+1,检修计划!$G$2:$G$992,"&gt;"&amp;$A193,检修计划!$H$2:$H$992,1)</f>
        <v/>
      </c>
      <c r="D193" s="5">
        <f>COUNTIFS(检修计划!$E$2:$E$992,"3",检修计划!$F$2:$F$992,"&lt;"&amp;$A193+1,检修计划!$G$2:$G$992,"&gt;"&amp;$A193,检修计划!$H$2:$H$992,1)</f>
        <v/>
      </c>
      <c r="E193" s="5">
        <f>COUNTIFS(检修计划!$E$2:$E$992,"4",检修计划!$F$2:$F$992,"&lt;"&amp;$A193+1,检修计划!$G$2:$G$992,"&gt;"&amp;$A193,检修计划!$H$2:$H$992,1)</f>
        <v/>
      </c>
      <c r="F193" s="5">
        <f>COUNTIFS(检修计划!$E$2:$E$992,"5",检修计划!$F$2:$F$992,"&lt;"&amp;$A193+1,检修计划!$G$2:$G$992,"&gt;"&amp;$A193,检修计划!$H$2:$H$992,1)</f>
        <v/>
      </c>
    </row>
    <row r="194" ht="23" customHeight="1">
      <c r="A194" s="9" t="n">
        <v>45119</v>
      </c>
      <c r="B194" s="5">
        <f>COUNTIFS(检修计划!$E$2:$E$992,"1",检修计划!$F$2:$F$992,"&lt;"&amp;$A194+1,检修计划!$G$2:$G$992,"&gt;"&amp;$A194,检修计划!$H$2:$H$992,1)</f>
        <v/>
      </c>
      <c r="C194" s="5">
        <f>COUNTIFS(检修计划!$E$2:$E$992,"2",检修计划!$F$2:$F$992,"&lt;"&amp;$A194+1,检修计划!$G$2:$G$992,"&gt;"&amp;$A194,检修计划!$H$2:$H$992,1)</f>
        <v/>
      </c>
      <c r="D194" s="5">
        <f>COUNTIFS(检修计划!$E$2:$E$992,"3",检修计划!$F$2:$F$992,"&lt;"&amp;$A194+1,检修计划!$G$2:$G$992,"&gt;"&amp;$A194,检修计划!$H$2:$H$992,1)</f>
        <v/>
      </c>
      <c r="E194" s="5">
        <f>COUNTIFS(检修计划!$E$2:$E$992,"4",检修计划!$F$2:$F$992,"&lt;"&amp;$A194+1,检修计划!$G$2:$G$992,"&gt;"&amp;$A194,检修计划!$H$2:$H$992,1)</f>
        <v/>
      </c>
      <c r="F194" s="5">
        <f>COUNTIFS(检修计划!$E$2:$E$992,"5",检修计划!$F$2:$F$992,"&lt;"&amp;$A194+1,检修计划!$G$2:$G$992,"&gt;"&amp;$A194,检修计划!$H$2:$H$992,1)</f>
        <v/>
      </c>
    </row>
    <row r="195" ht="23" customHeight="1">
      <c r="A195" s="9" t="n">
        <v>45120</v>
      </c>
      <c r="B195" s="5">
        <f>COUNTIFS(检修计划!$E$2:$E$992,"1",检修计划!$F$2:$F$992,"&lt;"&amp;$A195+1,检修计划!$G$2:$G$992,"&gt;"&amp;$A195,检修计划!$H$2:$H$992,1)</f>
        <v/>
      </c>
      <c r="C195" s="5">
        <f>COUNTIFS(检修计划!$E$2:$E$992,"2",检修计划!$F$2:$F$992,"&lt;"&amp;$A195+1,检修计划!$G$2:$G$992,"&gt;"&amp;$A195,检修计划!$H$2:$H$992,1)</f>
        <v/>
      </c>
      <c r="D195" s="5">
        <f>COUNTIFS(检修计划!$E$2:$E$992,"3",检修计划!$F$2:$F$992,"&lt;"&amp;$A195+1,检修计划!$G$2:$G$992,"&gt;"&amp;$A195,检修计划!$H$2:$H$992,1)</f>
        <v/>
      </c>
      <c r="E195" s="5">
        <f>COUNTIFS(检修计划!$E$2:$E$992,"4",检修计划!$F$2:$F$992,"&lt;"&amp;$A195+1,检修计划!$G$2:$G$992,"&gt;"&amp;$A195,检修计划!$H$2:$H$992,1)</f>
        <v/>
      </c>
      <c r="F195" s="5">
        <f>COUNTIFS(检修计划!$E$2:$E$992,"5",检修计划!$F$2:$F$992,"&lt;"&amp;$A195+1,检修计划!$G$2:$G$992,"&gt;"&amp;$A195,检修计划!$H$2:$H$992,1)</f>
        <v/>
      </c>
    </row>
    <row r="196" ht="23" customHeight="1">
      <c r="A196" s="9" t="n">
        <v>45121</v>
      </c>
      <c r="B196" s="5">
        <f>COUNTIFS(检修计划!$E$2:$E$992,"1",检修计划!$F$2:$F$992,"&lt;"&amp;$A196+1,检修计划!$G$2:$G$992,"&gt;"&amp;$A196,检修计划!$H$2:$H$992,1)</f>
        <v/>
      </c>
      <c r="C196" s="5">
        <f>COUNTIFS(检修计划!$E$2:$E$992,"2",检修计划!$F$2:$F$992,"&lt;"&amp;$A196+1,检修计划!$G$2:$G$992,"&gt;"&amp;$A196,检修计划!$H$2:$H$992,1)</f>
        <v/>
      </c>
      <c r="D196" s="5">
        <f>COUNTIFS(检修计划!$E$2:$E$992,"3",检修计划!$F$2:$F$992,"&lt;"&amp;$A196+1,检修计划!$G$2:$G$992,"&gt;"&amp;$A196,检修计划!$H$2:$H$992,1)</f>
        <v/>
      </c>
      <c r="E196" s="5">
        <f>COUNTIFS(检修计划!$E$2:$E$992,"4",检修计划!$F$2:$F$992,"&lt;"&amp;$A196+1,检修计划!$G$2:$G$992,"&gt;"&amp;$A196,检修计划!$H$2:$H$992,1)</f>
        <v/>
      </c>
      <c r="F196" s="5">
        <f>COUNTIFS(检修计划!$E$2:$E$992,"5",检修计划!$F$2:$F$992,"&lt;"&amp;$A196+1,检修计划!$G$2:$G$992,"&gt;"&amp;$A196,检修计划!$H$2:$H$992,1)</f>
        <v/>
      </c>
    </row>
    <row r="197" ht="23" customHeight="1">
      <c r="A197" s="9" t="n">
        <v>45122</v>
      </c>
      <c r="B197" s="5">
        <f>COUNTIFS(检修计划!$E$2:$E$992,"1",检修计划!$F$2:$F$992,"&lt;"&amp;$A197+1,检修计划!$G$2:$G$992,"&gt;"&amp;$A197,检修计划!$H$2:$H$992,1)</f>
        <v/>
      </c>
      <c r="C197" s="5">
        <f>COUNTIFS(检修计划!$E$2:$E$992,"2",检修计划!$F$2:$F$992,"&lt;"&amp;$A197+1,检修计划!$G$2:$G$992,"&gt;"&amp;$A197,检修计划!$H$2:$H$992,1)</f>
        <v/>
      </c>
      <c r="D197" s="5">
        <f>COUNTIFS(检修计划!$E$2:$E$992,"3",检修计划!$F$2:$F$992,"&lt;"&amp;$A197+1,检修计划!$G$2:$G$992,"&gt;"&amp;$A197,检修计划!$H$2:$H$992,1)</f>
        <v/>
      </c>
      <c r="E197" s="5">
        <f>COUNTIFS(检修计划!$E$2:$E$992,"4",检修计划!$F$2:$F$992,"&lt;"&amp;$A197+1,检修计划!$G$2:$G$992,"&gt;"&amp;$A197,检修计划!$H$2:$H$992,1)</f>
        <v/>
      </c>
      <c r="F197" s="5">
        <f>COUNTIFS(检修计划!$E$2:$E$992,"5",检修计划!$F$2:$F$992,"&lt;"&amp;$A197+1,检修计划!$G$2:$G$992,"&gt;"&amp;$A197,检修计划!$H$2:$H$992,1)</f>
        <v/>
      </c>
    </row>
    <row r="198" ht="23" customHeight="1">
      <c r="A198" s="9" t="n">
        <v>45123</v>
      </c>
      <c r="B198" s="5">
        <f>COUNTIFS(检修计划!$E$2:$E$992,"1",检修计划!$F$2:$F$992,"&lt;"&amp;$A198+1,检修计划!$G$2:$G$992,"&gt;"&amp;$A198,检修计划!$H$2:$H$992,1)</f>
        <v/>
      </c>
      <c r="C198" s="5">
        <f>COUNTIFS(检修计划!$E$2:$E$992,"2",检修计划!$F$2:$F$992,"&lt;"&amp;$A198+1,检修计划!$G$2:$G$992,"&gt;"&amp;$A198,检修计划!$H$2:$H$992,1)</f>
        <v/>
      </c>
      <c r="D198" s="5">
        <f>COUNTIFS(检修计划!$E$2:$E$992,"3",检修计划!$F$2:$F$992,"&lt;"&amp;$A198+1,检修计划!$G$2:$G$992,"&gt;"&amp;$A198,检修计划!$H$2:$H$992,1)</f>
        <v/>
      </c>
      <c r="E198" s="5">
        <f>COUNTIFS(检修计划!$E$2:$E$992,"4",检修计划!$F$2:$F$992,"&lt;"&amp;$A198+1,检修计划!$G$2:$G$992,"&gt;"&amp;$A198,检修计划!$H$2:$H$992,1)</f>
        <v/>
      </c>
      <c r="F198" s="5">
        <f>COUNTIFS(检修计划!$E$2:$E$992,"5",检修计划!$F$2:$F$992,"&lt;"&amp;$A198+1,检修计划!$G$2:$G$992,"&gt;"&amp;$A198,检修计划!$H$2:$H$992,1)</f>
        <v/>
      </c>
    </row>
    <row r="199" ht="23" customHeight="1">
      <c r="A199" s="9" t="n">
        <v>45124</v>
      </c>
      <c r="B199" s="5">
        <f>COUNTIFS(检修计划!$E$2:$E$992,"1",检修计划!$F$2:$F$992,"&lt;"&amp;$A199+1,检修计划!$G$2:$G$992,"&gt;"&amp;$A199,检修计划!$H$2:$H$992,1)</f>
        <v/>
      </c>
      <c r="C199" s="5">
        <f>COUNTIFS(检修计划!$E$2:$E$992,"2",检修计划!$F$2:$F$992,"&lt;"&amp;$A199+1,检修计划!$G$2:$G$992,"&gt;"&amp;$A199,检修计划!$H$2:$H$992,1)</f>
        <v/>
      </c>
      <c r="D199" s="5">
        <f>COUNTIFS(检修计划!$E$2:$E$992,"3",检修计划!$F$2:$F$992,"&lt;"&amp;$A199+1,检修计划!$G$2:$G$992,"&gt;"&amp;$A199,检修计划!$H$2:$H$992,1)</f>
        <v/>
      </c>
      <c r="E199" s="5">
        <f>COUNTIFS(检修计划!$E$2:$E$992,"4",检修计划!$F$2:$F$992,"&lt;"&amp;$A199+1,检修计划!$G$2:$G$992,"&gt;"&amp;$A199,检修计划!$H$2:$H$992,1)</f>
        <v/>
      </c>
      <c r="F199" s="5">
        <f>COUNTIFS(检修计划!$E$2:$E$992,"5",检修计划!$F$2:$F$992,"&lt;"&amp;$A199+1,检修计划!$G$2:$G$992,"&gt;"&amp;$A199,检修计划!$H$2:$H$992,1)</f>
        <v/>
      </c>
    </row>
    <row r="200" ht="23" customHeight="1">
      <c r="A200" s="9" t="n">
        <v>45125</v>
      </c>
      <c r="B200" s="5">
        <f>COUNTIFS(检修计划!$E$2:$E$992,"1",检修计划!$F$2:$F$992,"&lt;"&amp;$A200+1,检修计划!$G$2:$G$992,"&gt;"&amp;$A200,检修计划!$H$2:$H$992,1)</f>
        <v/>
      </c>
      <c r="C200" s="5">
        <f>COUNTIFS(检修计划!$E$2:$E$992,"2",检修计划!$F$2:$F$992,"&lt;"&amp;$A200+1,检修计划!$G$2:$G$992,"&gt;"&amp;$A200,检修计划!$H$2:$H$992,1)</f>
        <v/>
      </c>
      <c r="D200" s="5">
        <f>COUNTIFS(检修计划!$E$2:$E$992,"3",检修计划!$F$2:$F$992,"&lt;"&amp;$A200+1,检修计划!$G$2:$G$992,"&gt;"&amp;$A200,检修计划!$H$2:$H$992,1)</f>
        <v/>
      </c>
      <c r="E200" s="5">
        <f>COUNTIFS(检修计划!$E$2:$E$992,"4",检修计划!$F$2:$F$992,"&lt;"&amp;$A200+1,检修计划!$G$2:$G$992,"&gt;"&amp;$A200,检修计划!$H$2:$H$992,1)</f>
        <v/>
      </c>
      <c r="F200" s="5">
        <f>COUNTIFS(检修计划!$E$2:$E$992,"5",检修计划!$F$2:$F$992,"&lt;"&amp;$A200+1,检修计划!$G$2:$G$992,"&gt;"&amp;$A200,检修计划!$H$2:$H$992,1)</f>
        <v/>
      </c>
    </row>
    <row r="201" ht="23" customHeight="1">
      <c r="A201" s="9" t="n">
        <v>45126</v>
      </c>
      <c r="B201" s="5">
        <f>COUNTIFS(检修计划!$E$2:$E$992,"1",检修计划!$F$2:$F$992,"&lt;"&amp;$A201+1,检修计划!$G$2:$G$992,"&gt;"&amp;$A201,检修计划!$H$2:$H$992,1)</f>
        <v/>
      </c>
      <c r="C201" s="5">
        <f>COUNTIFS(检修计划!$E$2:$E$992,"2",检修计划!$F$2:$F$992,"&lt;"&amp;$A201+1,检修计划!$G$2:$G$992,"&gt;"&amp;$A201,检修计划!$H$2:$H$992,1)</f>
        <v/>
      </c>
      <c r="D201" s="5">
        <f>COUNTIFS(检修计划!$E$2:$E$992,"3",检修计划!$F$2:$F$992,"&lt;"&amp;$A201+1,检修计划!$G$2:$G$992,"&gt;"&amp;$A201,检修计划!$H$2:$H$992,1)</f>
        <v/>
      </c>
      <c r="E201" s="5">
        <f>COUNTIFS(检修计划!$E$2:$E$992,"4",检修计划!$F$2:$F$992,"&lt;"&amp;$A201+1,检修计划!$G$2:$G$992,"&gt;"&amp;$A201,检修计划!$H$2:$H$992,1)</f>
        <v/>
      </c>
      <c r="F201" s="5">
        <f>COUNTIFS(检修计划!$E$2:$E$992,"5",检修计划!$F$2:$F$992,"&lt;"&amp;$A201+1,检修计划!$G$2:$G$992,"&gt;"&amp;$A201,检修计划!$H$2:$H$992,1)</f>
        <v/>
      </c>
    </row>
    <row r="202" ht="23" customHeight="1">
      <c r="A202" s="9" t="n">
        <v>45127</v>
      </c>
      <c r="B202" s="5">
        <f>COUNTIFS(检修计划!$E$2:$E$992,"1",检修计划!$F$2:$F$992,"&lt;"&amp;$A202+1,检修计划!$G$2:$G$992,"&gt;"&amp;$A202,检修计划!$H$2:$H$992,1)</f>
        <v/>
      </c>
      <c r="C202" s="5">
        <f>COUNTIFS(检修计划!$E$2:$E$992,"2",检修计划!$F$2:$F$992,"&lt;"&amp;$A202+1,检修计划!$G$2:$G$992,"&gt;"&amp;$A202,检修计划!$H$2:$H$992,1)</f>
        <v/>
      </c>
      <c r="D202" s="5">
        <f>COUNTIFS(检修计划!$E$2:$E$992,"3",检修计划!$F$2:$F$992,"&lt;"&amp;$A202+1,检修计划!$G$2:$G$992,"&gt;"&amp;$A202,检修计划!$H$2:$H$992,1)</f>
        <v/>
      </c>
      <c r="E202" s="5">
        <f>COUNTIFS(检修计划!$E$2:$E$992,"4",检修计划!$F$2:$F$992,"&lt;"&amp;$A202+1,检修计划!$G$2:$G$992,"&gt;"&amp;$A202,检修计划!$H$2:$H$992,1)</f>
        <v/>
      </c>
      <c r="F202" s="5">
        <f>COUNTIFS(检修计划!$E$2:$E$992,"5",检修计划!$F$2:$F$992,"&lt;"&amp;$A202+1,检修计划!$G$2:$G$992,"&gt;"&amp;$A202,检修计划!$H$2:$H$992,1)</f>
        <v/>
      </c>
    </row>
    <row r="203" ht="23" customHeight="1">
      <c r="A203" s="9" t="n">
        <v>45128</v>
      </c>
      <c r="B203" s="5">
        <f>COUNTIFS(检修计划!$E$2:$E$992,"1",检修计划!$F$2:$F$992,"&lt;"&amp;$A203+1,检修计划!$G$2:$G$992,"&gt;"&amp;$A203,检修计划!$H$2:$H$992,1)</f>
        <v/>
      </c>
      <c r="C203" s="5">
        <f>COUNTIFS(检修计划!$E$2:$E$992,"2",检修计划!$F$2:$F$992,"&lt;"&amp;$A203+1,检修计划!$G$2:$G$992,"&gt;"&amp;$A203,检修计划!$H$2:$H$992,1)</f>
        <v/>
      </c>
      <c r="D203" s="5">
        <f>COUNTIFS(检修计划!$E$2:$E$992,"3",检修计划!$F$2:$F$992,"&lt;"&amp;$A203+1,检修计划!$G$2:$G$992,"&gt;"&amp;$A203,检修计划!$H$2:$H$992,1)</f>
        <v/>
      </c>
      <c r="E203" s="5">
        <f>COUNTIFS(检修计划!$E$2:$E$992,"4",检修计划!$F$2:$F$992,"&lt;"&amp;$A203+1,检修计划!$G$2:$G$992,"&gt;"&amp;$A203,检修计划!$H$2:$H$992,1)</f>
        <v/>
      </c>
      <c r="F203" s="5">
        <f>COUNTIFS(检修计划!$E$2:$E$992,"5",检修计划!$F$2:$F$992,"&lt;"&amp;$A203+1,检修计划!$G$2:$G$992,"&gt;"&amp;$A203,检修计划!$H$2:$H$992,1)</f>
        <v/>
      </c>
    </row>
    <row r="204" ht="23" customHeight="1">
      <c r="A204" s="9" t="n">
        <v>45129</v>
      </c>
      <c r="B204" s="5">
        <f>COUNTIFS(检修计划!$E$2:$E$992,"1",检修计划!$F$2:$F$992,"&lt;"&amp;$A204+1,检修计划!$G$2:$G$992,"&gt;"&amp;$A204,检修计划!$H$2:$H$992,1)</f>
        <v/>
      </c>
      <c r="C204" s="5">
        <f>COUNTIFS(检修计划!$E$2:$E$992,"2",检修计划!$F$2:$F$992,"&lt;"&amp;$A204+1,检修计划!$G$2:$G$992,"&gt;"&amp;$A204,检修计划!$H$2:$H$992,1)</f>
        <v/>
      </c>
      <c r="D204" s="5">
        <f>COUNTIFS(检修计划!$E$2:$E$992,"3",检修计划!$F$2:$F$992,"&lt;"&amp;$A204+1,检修计划!$G$2:$G$992,"&gt;"&amp;$A204,检修计划!$H$2:$H$992,1)</f>
        <v/>
      </c>
      <c r="E204" s="5">
        <f>COUNTIFS(检修计划!$E$2:$E$992,"4",检修计划!$F$2:$F$992,"&lt;"&amp;$A204+1,检修计划!$G$2:$G$992,"&gt;"&amp;$A204,检修计划!$H$2:$H$992,1)</f>
        <v/>
      </c>
      <c r="F204" s="5">
        <f>COUNTIFS(检修计划!$E$2:$E$992,"5",检修计划!$F$2:$F$992,"&lt;"&amp;$A204+1,检修计划!$G$2:$G$992,"&gt;"&amp;$A204,检修计划!$H$2:$H$992,1)</f>
        <v/>
      </c>
    </row>
    <row r="205" ht="23" customHeight="1">
      <c r="A205" s="9" t="n">
        <v>45130</v>
      </c>
      <c r="B205" s="5">
        <f>COUNTIFS(检修计划!$E$2:$E$992,"1",检修计划!$F$2:$F$992,"&lt;"&amp;$A205+1,检修计划!$G$2:$G$992,"&gt;"&amp;$A205,检修计划!$H$2:$H$992,1)</f>
        <v/>
      </c>
      <c r="C205" s="5">
        <f>COUNTIFS(检修计划!$E$2:$E$992,"2",检修计划!$F$2:$F$992,"&lt;"&amp;$A205+1,检修计划!$G$2:$G$992,"&gt;"&amp;$A205,检修计划!$H$2:$H$992,1)</f>
        <v/>
      </c>
      <c r="D205" s="5">
        <f>COUNTIFS(检修计划!$E$2:$E$992,"3",检修计划!$F$2:$F$992,"&lt;"&amp;$A205+1,检修计划!$G$2:$G$992,"&gt;"&amp;$A205,检修计划!$H$2:$H$992,1)</f>
        <v/>
      </c>
      <c r="E205" s="5">
        <f>COUNTIFS(检修计划!$E$2:$E$992,"4",检修计划!$F$2:$F$992,"&lt;"&amp;$A205+1,检修计划!$G$2:$G$992,"&gt;"&amp;$A205,检修计划!$H$2:$H$992,1)</f>
        <v/>
      </c>
      <c r="F205" s="5">
        <f>COUNTIFS(检修计划!$E$2:$E$992,"5",检修计划!$F$2:$F$992,"&lt;"&amp;$A205+1,检修计划!$G$2:$G$992,"&gt;"&amp;$A205,检修计划!$H$2:$H$992,1)</f>
        <v/>
      </c>
    </row>
    <row r="206" ht="23" customHeight="1">
      <c r="A206" s="9" t="n">
        <v>45131</v>
      </c>
      <c r="B206" s="5">
        <f>COUNTIFS(检修计划!$E$2:$E$992,"1",检修计划!$F$2:$F$992,"&lt;"&amp;$A206+1,检修计划!$G$2:$G$992,"&gt;"&amp;$A206,检修计划!$H$2:$H$992,1)</f>
        <v/>
      </c>
      <c r="C206" s="5">
        <f>COUNTIFS(检修计划!$E$2:$E$992,"2",检修计划!$F$2:$F$992,"&lt;"&amp;$A206+1,检修计划!$G$2:$G$992,"&gt;"&amp;$A206,检修计划!$H$2:$H$992,1)</f>
        <v/>
      </c>
      <c r="D206" s="5">
        <f>COUNTIFS(检修计划!$E$2:$E$992,"3",检修计划!$F$2:$F$992,"&lt;"&amp;$A206+1,检修计划!$G$2:$G$992,"&gt;"&amp;$A206,检修计划!$H$2:$H$992,1)</f>
        <v/>
      </c>
      <c r="E206" s="5">
        <f>COUNTIFS(检修计划!$E$2:$E$992,"4",检修计划!$F$2:$F$992,"&lt;"&amp;$A206+1,检修计划!$G$2:$G$992,"&gt;"&amp;$A206,检修计划!$H$2:$H$992,1)</f>
        <v/>
      </c>
      <c r="F206" s="5">
        <f>COUNTIFS(检修计划!$E$2:$E$992,"5",检修计划!$F$2:$F$992,"&lt;"&amp;$A206+1,检修计划!$G$2:$G$992,"&gt;"&amp;$A206,检修计划!$H$2:$H$992,1)</f>
        <v/>
      </c>
    </row>
    <row r="207" ht="23" customHeight="1">
      <c r="A207" s="9" t="n">
        <v>45132</v>
      </c>
      <c r="B207" s="5">
        <f>COUNTIFS(检修计划!$E$2:$E$992,"1",检修计划!$F$2:$F$992,"&lt;"&amp;$A207+1,检修计划!$G$2:$G$992,"&gt;"&amp;$A207,检修计划!$H$2:$H$992,1)</f>
        <v/>
      </c>
      <c r="C207" s="5">
        <f>COUNTIFS(检修计划!$E$2:$E$992,"2",检修计划!$F$2:$F$992,"&lt;"&amp;$A207+1,检修计划!$G$2:$G$992,"&gt;"&amp;$A207,检修计划!$H$2:$H$992,1)</f>
        <v/>
      </c>
      <c r="D207" s="5">
        <f>COUNTIFS(检修计划!$E$2:$E$992,"3",检修计划!$F$2:$F$992,"&lt;"&amp;$A207+1,检修计划!$G$2:$G$992,"&gt;"&amp;$A207,检修计划!$H$2:$H$992,1)</f>
        <v/>
      </c>
      <c r="E207" s="5">
        <f>COUNTIFS(检修计划!$E$2:$E$992,"4",检修计划!$F$2:$F$992,"&lt;"&amp;$A207+1,检修计划!$G$2:$G$992,"&gt;"&amp;$A207,检修计划!$H$2:$H$992,1)</f>
        <v/>
      </c>
      <c r="F207" s="5">
        <f>COUNTIFS(检修计划!$E$2:$E$992,"5",检修计划!$F$2:$F$992,"&lt;"&amp;$A207+1,检修计划!$G$2:$G$992,"&gt;"&amp;$A207,检修计划!$H$2:$H$992,1)</f>
        <v/>
      </c>
    </row>
    <row r="208" ht="23" customHeight="1">
      <c r="A208" s="9" t="n">
        <v>45133</v>
      </c>
      <c r="B208" s="5">
        <f>COUNTIFS(检修计划!$E$2:$E$992,"1",检修计划!$F$2:$F$992,"&lt;"&amp;$A208+1,检修计划!$G$2:$G$992,"&gt;"&amp;$A208,检修计划!$H$2:$H$992,1)</f>
        <v/>
      </c>
      <c r="C208" s="5">
        <f>COUNTIFS(检修计划!$E$2:$E$992,"2",检修计划!$F$2:$F$992,"&lt;"&amp;$A208+1,检修计划!$G$2:$G$992,"&gt;"&amp;$A208,检修计划!$H$2:$H$992,1)</f>
        <v/>
      </c>
      <c r="D208" s="5">
        <f>COUNTIFS(检修计划!$E$2:$E$992,"3",检修计划!$F$2:$F$992,"&lt;"&amp;$A208+1,检修计划!$G$2:$G$992,"&gt;"&amp;$A208,检修计划!$H$2:$H$992,1)</f>
        <v/>
      </c>
      <c r="E208" s="5">
        <f>COUNTIFS(检修计划!$E$2:$E$992,"4",检修计划!$F$2:$F$992,"&lt;"&amp;$A208+1,检修计划!$G$2:$G$992,"&gt;"&amp;$A208,检修计划!$H$2:$H$992,1)</f>
        <v/>
      </c>
      <c r="F208" s="5">
        <f>COUNTIFS(检修计划!$E$2:$E$992,"5",检修计划!$F$2:$F$992,"&lt;"&amp;$A208+1,检修计划!$G$2:$G$992,"&gt;"&amp;$A208,检修计划!$H$2:$H$992,1)</f>
        <v/>
      </c>
    </row>
    <row r="209" ht="23" customHeight="1">
      <c r="A209" s="9" t="n">
        <v>45134</v>
      </c>
      <c r="B209" s="5">
        <f>COUNTIFS(检修计划!$E$2:$E$992,"1",检修计划!$F$2:$F$992,"&lt;"&amp;$A209+1,检修计划!$G$2:$G$992,"&gt;"&amp;$A209,检修计划!$H$2:$H$992,1)</f>
        <v/>
      </c>
      <c r="C209" s="5">
        <f>COUNTIFS(检修计划!$E$2:$E$992,"2",检修计划!$F$2:$F$992,"&lt;"&amp;$A209+1,检修计划!$G$2:$G$992,"&gt;"&amp;$A209,检修计划!$H$2:$H$992,1)</f>
        <v/>
      </c>
      <c r="D209" s="5">
        <f>COUNTIFS(检修计划!$E$2:$E$992,"3",检修计划!$F$2:$F$992,"&lt;"&amp;$A209+1,检修计划!$G$2:$G$992,"&gt;"&amp;$A209,检修计划!$H$2:$H$992,1)</f>
        <v/>
      </c>
      <c r="E209" s="5">
        <f>COUNTIFS(检修计划!$E$2:$E$992,"4",检修计划!$F$2:$F$992,"&lt;"&amp;$A209+1,检修计划!$G$2:$G$992,"&gt;"&amp;$A209,检修计划!$H$2:$H$992,1)</f>
        <v/>
      </c>
      <c r="F209" s="5">
        <f>COUNTIFS(检修计划!$E$2:$E$992,"5",检修计划!$F$2:$F$992,"&lt;"&amp;$A209+1,检修计划!$G$2:$G$992,"&gt;"&amp;$A209,检修计划!$H$2:$H$992,1)</f>
        <v/>
      </c>
    </row>
    <row r="210" ht="23" customHeight="1">
      <c r="A210" s="9" t="n">
        <v>45135</v>
      </c>
      <c r="B210" s="5">
        <f>COUNTIFS(检修计划!$E$2:$E$992,"1",检修计划!$F$2:$F$992,"&lt;"&amp;$A210+1,检修计划!$G$2:$G$992,"&gt;"&amp;$A210,检修计划!$H$2:$H$992,1)</f>
        <v/>
      </c>
      <c r="C210" s="5">
        <f>COUNTIFS(检修计划!$E$2:$E$992,"2",检修计划!$F$2:$F$992,"&lt;"&amp;$A210+1,检修计划!$G$2:$G$992,"&gt;"&amp;$A210,检修计划!$H$2:$H$992,1)</f>
        <v/>
      </c>
      <c r="D210" s="5">
        <f>COUNTIFS(检修计划!$E$2:$E$992,"3",检修计划!$F$2:$F$992,"&lt;"&amp;$A210+1,检修计划!$G$2:$G$992,"&gt;"&amp;$A210,检修计划!$H$2:$H$992,1)</f>
        <v/>
      </c>
      <c r="E210" s="5">
        <f>COUNTIFS(检修计划!$E$2:$E$992,"4",检修计划!$F$2:$F$992,"&lt;"&amp;$A210+1,检修计划!$G$2:$G$992,"&gt;"&amp;$A210,检修计划!$H$2:$H$992,1)</f>
        <v/>
      </c>
      <c r="F210" s="5">
        <f>COUNTIFS(检修计划!$E$2:$E$992,"5",检修计划!$F$2:$F$992,"&lt;"&amp;$A210+1,检修计划!$G$2:$G$992,"&gt;"&amp;$A210,检修计划!$H$2:$H$992,1)</f>
        <v/>
      </c>
    </row>
    <row r="211" ht="23" customHeight="1">
      <c r="A211" s="9" t="n">
        <v>45136</v>
      </c>
      <c r="B211" s="5">
        <f>COUNTIFS(检修计划!$E$2:$E$992,"1",检修计划!$F$2:$F$992,"&lt;"&amp;$A211+1,检修计划!$G$2:$G$992,"&gt;"&amp;$A211,检修计划!$H$2:$H$992,1)</f>
        <v/>
      </c>
      <c r="C211" s="5">
        <f>COUNTIFS(检修计划!$E$2:$E$992,"2",检修计划!$F$2:$F$992,"&lt;"&amp;$A211+1,检修计划!$G$2:$G$992,"&gt;"&amp;$A211,检修计划!$H$2:$H$992,1)</f>
        <v/>
      </c>
      <c r="D211" s="5">
        <f>COUNTIFS(检修计划!$E$2:$E$992,"3",检修计划!$F$2:$F$992,"&lt;"&amp;$A211+1,检修计划!$G$2:$G$992,"&gt;"&amp;$A211,检修计划!$H$2:$H$992,1)</f>
        <v/>
      </c>
      <c r="E211" s="5">
        <f>COUNTIFS(检修计划!$E$2:$E$992,"4",检修计划!$F$2:$F$992,"&lt;"&amp;$A211+1,检修计划!$G$2:$G$992,"&gt;"&amp;$A211,检修计划!$H$2:$H$992,1)</f>
        <v/>
      </c>
      <c r="F211" s="5">
        <f>COUNTIFS(检修计划!$E$2:$E$992,"5",检修计划!$F$2:$F$992,"&lt;"&amp;$A211+1,检修计划!$G$2:$G$992,"&gt;"&amp;$A211,检修计划!$H$2:$H$992,1)</f>
        <v/>
      </c>
    </row>
    <row r="212" ht="23" customHeight="1">
      <c r="A212" s="9" t="n">
        <v>45137</v>
      </c>
      <c r="B212" s="5">
        <f>COUNTIFS(检修计划!$E$2:$E$992,"1",检修计划!$F$2:$F$992,"&lt;"&amp;$A212+1,检修计划!$G$2:$G$992,"&gt;"&amp;$A212,检修计划!$H$2:$H$992,1)</f>
        <v/>
      </c>
      <c r="C212" s="5">
        <f>COUNTIFS(检修计划!$E$2:$E$992,"2",检修计划!$F$2:$F$992,"&lt;"&amp;$A212+1,检修计划!$G$2:$G$992,"&gt;"&amp;$A212,检修计划!$H$2:$H$992,1)</f>
        <v/>
      </c>
      <c r="D212" s="5">
        <f>COUNTIFS(检修计划!$E$2:$E$992,"3",检修计划!$F$2:$F$992,"&lt;"&amp;$A212+1,检修计划!$G$2:$G$992,"&gt;"&amp;$A212,检修计划!$H$2:$H$992,1)</f>
        <v/>
      </c>
      <c r="E212" s="5">
        <f>COUNTIFS(检修计划!$E$2:$E$992,"4",检修计划!$F$2:$F$992,"&lt;"&amp;$A212+1,检修计划!$G$2:$G$992,"&gt;"&amp;$A212,检修计划!$H$2:$H$992,1)</f>
        <v/>
      </c>
      <c r="F212" s="5">
        <f>COUNTIFS(检修计划!$E$2:$E$992,"5",检修计划!$F$2:$F$992,"&lt;"&amp;$A212+1,检修计划!$G$2:$G$992,"&gt;"&amp;$A212,检修计划!$H$2:$H$992,1)</f>
        <v/>
      </c>
    </row>
    <row r="213" ht="23" customHeight="1">
      <c r="A213" s="9" t="n">
        <v>45138</v>
      </c>
      <c r="B213" s="5">
        <f>COUNTIFS(检修计划!$E$2:$E$992,"1",检修计划!$F$2:$F$992,"&lt;"&amp;$A213+1,检修计划!$G$2:$G$992,"&gt;"&amp;$A213,检修计划!$H$2:$H$992,1)</f>
        <v/>
      </c>
      <c r="C213" s="5">
        <f>COUNTIFS(检修计划!$E$2:$E$992,"2",检修计划!$F$2:$F$992,"&lt;"&amp;$A213+1,检修计划!$G$2:$G$992,"&gt;"&amp;$A213,检修计划!$H$2:$H$992,1)</f>
        <v/>
      </c>
      <c r="D213" s="5">
        <f>COUNTIFS(检修计划!$E$2:$E$992,"3",检修计划!$F$2:$F$992,"&lt;"&amp;$A213+1,检修计划!$G$2:$G$992,"&gt;"&amp;$A213,检修计划!$H$2:$H$992,1)</f>
        <v/>
      </c>
      <c r="E213" s="5">
        <f>COUNTIFS(检修计划!$E$2:$E$992,"4",检修计划!$F$2:$F$992,"&lt;"&amp;$A213+1,检修计划!$G$2:$G$992,"&gt;"&amp;$A213,检修计划!$H$2:$H$992,1)</f>
        <v/>
      </c>
      <c r="F213" s="5">
        <f>COUNTIFS(检修计划!$E$2:$E$992,"5",检修计划!$F$2:$F$992,"&lt;"&amp;$A213+1,检修计划!$G$2:$G$992,"&gt;"&amp;$A213,检修计划!$H$2:$H$992,1)</f>
        <v/>
      </c>
    </row>
    <row r="214" ht="23" customHeight="1">
      <c r="A214" s="9" t="n">
        <v>45139</v>
      </c>
      <c r="B214" s="5">
        <f>COUNTIFS(检修计划!$E$2:$E$992,"1",检修计划!$F$2:$F$992,"&lt;"&amp;$A214+1,检修计划!$G$2:$G$992,"&gt;"&amp;$A214,检修计划!$H$2:$H$992,1)</f>
        <v/>
      </c>
      <c r="C214" s="5">
        <f>COUNTIFS(检修计划!$E$2:$E$992,"2",检修计划!$F$2:$F$992,"&lt;"&amp;$A214+1,检修计划!$G$2:$G$992,"&gt;"&amp;$A214,检修计划!$H$2:$H$992,1)</f>
        <v/>
      </c>
      <c r="D214" s="5">
        <f>COUNTIFS(检修计划!$E$2:$E$992,"3",检修计划!$F$2:$F$992,"&lt;"&amp;$A214+1,检修计划!$G$2:$G$992,"&gt;"&amp;$A214,检修计划!$H$2:$H$992,1)</f>
        <v/>
      </c>
      <c r="E214" s="5">
        <f>COUNTIFS(检修计划!$E$2:$E$992,"4",检修计划!$F$2:$F$992,"&lt;"&amp;$A214+1,检修计划!$G$2:$G$992,"&gt;"&amp;$A214,检修计划!$H$2:$H$992,1)</f>
        <v/>
      </c>
      <c r="F214" s="5">
        <f>COUNTIFS(检修计划!$E$2:$E$992,"5",检修计划!$F$2:$F$992,"&lt;"&amp;$A214+1,检修计划!$G$2:$G$992,"&gt;"&amp;$A214,检修计划!$H$2:$H$992,1)</f>
        <v/>
      </c>
    </row>
    <row r="215" ht="23" customHeight="1">
      <c r="A215" s="9" t="n">
        <v>45140</v>
      </c>
      <c r="B215" s="5">
        <f>COUNTIFS(检修计划!$E$2:$E$992,"1",检修计划!$F$2:$F$992,"&lt;"&amp;$A215+1,检修计划!$G$2:$G$992,"&gt;"&amp;$A215,检修计划!$H$2:$H$992,1)</f>
        <v/>
      </c>
      <c r="C215" s="5">
        <f>COUNTIFS(检修计划!$E$2:$E$992,"2",检修计划!$F$2:$F$992,"&lt;"&amp;$A215+1,检修计划!$G$2:$G$992,"&gt;"&amp;$A215,检修计划!$H$2:$H$992,1)</f>
        <v/>
      </c>
      <c r="D215" s="5">
        <f>COUNTIFS(检修计划!$E$2:$E$992,"3",检修计划!$F$2:$F$992,"&lt;"&amp;$A215+1,检修计划!$G$2:$G$992,"&gt;"&amp;$A215,检修计划!$H$2:$H$992,1)</f>
        <v/>
      </c>
      <c r="E215" s="5">
        <f>COUNTIFS(检修计划!$E$2:$E$992,"4",检修计划!$F$2:$F$992,"&lt;"&amp;$A215+1,检修计划!$G$2:$G$992,"&gt;"&amp;$A215,检修计划!$H$2:$H$992,1)</f>
        <v/>
      </c>
      <c r="F215" s="5">
        <f>COUNTIFS(检修计划!$E$2:$E$992,"5",检修计划!$F$2:$F$992,"&lt;"&amp;$A215+1,检修计划!$G$2:$G$992,"&gt;"&amp;$A215,检修计划!$H$2:$H$992,1)</f>
        <v/>
      </c>
    </row>
    <row r="216" ht="23" customHeight="1">
      <c r="A216" s="9" t="n">
        <v>45141</v>
      </c>
      <c r="B216" s="5">
        <f>COUNTIFS(检修计划!$E$2:$E$992,"1",检修计划!$F$2:$F$992,"&lt;"&amp;$A216+1,检修计划!$G$2:$G$992,"&gt;"&amp;$A216,检修计划!$H$2:$H$992,1)</f>
        <v/>
      </c>
      <c r="C216" s="5">
        <f>COUNTIFS(检修计划!$E$2:$E$992,"2",检修计划!$F$2:$F$992,"&lt;"&amp;$A216+1,检修计划!$G$2:$G$992,"&gt;"&amp;$A216,检修计划!$H$2:$H$992,1)</f>
        <v/>
      </c>
      <c r="D216" s="5">
        <f>COUNTIFS(检修计划!$E$2:$E$992,"3",检修计划!$F$2:$F$992,"&lt;"&amp;$A216+1,检修计划!$G$2:$G$992,"&gt;"&amp;$A216,检修计划!$H$2:$H$992,1)</f>
        <v/>
      </c>
      <c r="E216" s="5">
        <f>COUNTIFS(检修计划!$E$2:$E$992,"4",检修计划!$F$2:$F$992,"&lt;"&amp;$A216+1,检修计划!$G$2:$G$992,"&gt;"&amp;$A216,检修计划!$H$2:$H$992,1)</f>
        <v/>
      </c>
      <c r="F216" s="5">
        <f>COUNTIFS(检修计划!$E$2:$E$992,"5",检修计划!$F$2:$F$992,"&lt;"&amp;$A216+1,检修计划!$G$2:$G$992,"&gt;"&amp;$A216,检修计划!$H$2:$H$992,1)</f>
        <v/>
      </c>
    </row>
    <row r="217" ht="23" customHeight="1">
      <c r="A217" s="9" t="n">
        <v>45142</v>
      </c>
      <c r="B217" s="5">
        <f>COUNTIFS(检修计划!$E$2:$E$992,"1",检修计划!$F$2:$F$992,"&lt;"&amp;$A217+1,检修计划!$G$2:$G$992,"&gt;"&amp;$A217,检修计划!$H$2:$H$992,1)</f>
        <v/>
      </c>
      <c r="C217" s="5">
        <f>COUNTIFS(检修计划!$E$2:$E$992,"2",检修计划!$F$2:$F$992,"&lt;"&amp;$A217+1,检修计划!$G$2:$G$992,"&gt;"&amp;$A217,检修计划!$H$2:$H$992,1)</f>
        <v/>
      </c>
      <c r="D217" s="5">
        <f>COUNTIFS(检修计划!$E$2:$E$992,"3",检修计划!$F$2:$F$992,"&lt;"&amp;$A217+1,检修计划!$G$2:$G$992,"&gt;"&amp;$A217,检修计划!$H$2:$H$992,1)</f>
        <v/>
      </c>
      <c r="E217" s="5">
        <f>COUNTIFS(检修计划!$E$2:$E$992,"4",检修计划!$F$2:$F$992,"&lt;"&amp;$A217+1,检修计划!$G$2:$G$992,"&gt;"&amp;$A217,检修计划!$H$2:$H$992,1)</f>
        <v/>
      </c>
      <c r="F217" s="5">
        <f>COUNTIFS(检修计划!$E$2:$E$992,"5",检修计划!$F$2:$F$992,"&lt;"&amp;$A217+1,检修计划!$G$2:$G$992,"&gt;"&amp;$A217,检修计划!$H$2:$H$992,1)</f>
        <v/>
      </c>
    </row>
    <row r="218" ht="23" customHeight="1">
      <c r="A218" s="9" t="n">
        <v>45143</v>
      </c>
      <c r="B218" s="5">
        <f>COUNTIFS(检修计划!$E$2:$E$992,"1",检修计划!$F$2:$F$992,"&lt;"&amp;$A218+1,检修计划!$G$2:$G$992,"&gt;"&amp;$A218,检修计划!$H$2:$H$992,1)</f>
        <v/>
      </c>
      <c r="C218" s="5">
        <f>COUNTIFS(检修计划!$E$2:$E$992,"2",检修计划!$F$2:$F$992,"&lt;"&amp;$A218+1,检修计划!$G$2:$G$992,"&gt;"&amp;$A218,检修计划!$H$2:$H$992,1)</f>
        <v/>
      </c>
      <c r="D218" s="5">
        <f>COUNTIFS(检修计划!$E$2:$E$992,"3",检修计划!$F$2:$F$992,"&lt;"&amp;$A218+1,检修计划!$G$2:$G$992,"&gt;"&amp;$A218,检修计划!$H$2:$H$992,1)</f>
        <v/>
      </c>
      <c r="E218" s="5">
        <f>COUNTIFS(检修计划!$E$2:$E$992,"4",检修计划!$F$2:$F$992,"&lt;"&amp;$A218+1,检修计划!$G$2:$G$992,"&gt;"&amp;$A218,检修计划!$H$2:$H$992,1)</f>
        <v/>
      </c>
      <c r="F218" s="5">
        <f>COUNTIFS(检修计划!$E$2:$E$992,"5",检修计划!$F$2:$F$992,"&lt;"&amp;$A218+1,检修计划!$G$2:$G$992,"&gt;"&amp;$A218,检修计划!$H$2:$H$992,1)</f>
        <v/>
      </c>
    </row>
    <row r="219" ht="23" customHeight="1">
      <c r="A219" s="9" t="n">
        <v>45144</v>
      </c>
      <c r="B219" s="5">
        <f>COUNTIFS(检修计划!$E$2:$E$992,"1",检修计划!$F$2:$F$992,"&lt;"&amp;$A219+1,检修计划!$G$2:$G$992,"&gt;"&amp;$A219,检修计划!$H$2:$H$992,1)</f>
        <v/>
      </c>
      <c r="C219" s="5">
        <f>COUNTIFS(检修计划!$E$2:$E$992,"2",检修计划!$F$2:$F$992,"&lt;"&amp;$A219+1,检修计划!$G$2:$G$992,"&gt;"&amp;$A219,检修计划!$H$2:$H$992,1)</f>
        <v/>
      </c>
      <c r="D219" s="5">
        <f>COUNTIFS(检修计划!$E$2:$E$992,"3",检修计划!$F$2:$F$992,"&lt;"&amp;$A219+1,检修计划!$G$2:$G$992,"&gt;"&amp;$A219,检修计划!$H$2:$H$992,1)</f>
        <v/>
      </c>
      <c r="E219" s="5">
        <f>COUNTIFS(检修计划!$E$2:$E$992,"4",检修计划!$F$2:$F$992,"&lt;"&amp;$A219+1,检修计划!$G$2:$G$992,"&gt;"&amp;$A219,检修计划!$H$2:$H$992,1)</f>
        <v/>
      </c>
      <c r="F219" s="5">
        <f>COUNTIFS(检修计划!$E$2:$E$992,"5",检修计划!$F$2:$F$992,"&lt;"&amp;$A219+1,检修计划!$G$2:$G$992,"&gt;"&amp;$A219,检修计划!$H$2:$H$992,1)</f>
        <v/>
      </c>
    </row>
    <row r="220" ht="23" customHeight="1">
      <c r="A220" s="9" t="n">
        <v>45145</v>
      </c>
      <c r="B220" s="5">
        <f>COUNTIFS(检修计划!$E$2:$E$992,"1",检修计划!$F$2:$F$992,"&lt;"&amp;$A220+1,检修计划!$G$2:$G$992,"&gt;"&amp;$A220,检修计划!$H$2:$H$992,1)</f>
        <v/>
      </c>
      <c r="C220" s="5">
        <f>COUNTIFS(检修计划!$E$2:$E$992,"2",检修计划!$F$2:$F$992,"&lt;"&amp;$A220+1,检修计划!$G$2:$G$992,"&gt;"&amp;$A220,检修计划!$H$2:$H$992,1)</f>
        <v/>
      </c>
      <c r="D220" s="5">
        <f>COUNTIFS(检修计划!$E$2:$E$992,"3",检修计划!$F$2:$F$992,"&lt;"&amp;$A220+1,检修计划!$G$2:$G$992,"&gt;"&amp;$A220,检修计划!$H$2:$H$992,1)</f>
        <v/>
      </c>
      <c r="E220" s="5">
        <f>COUNTIFS(检修计划!$E$2:$E$992,"4",检修计划!$F$2:$F$992,"&lt;"&amp;$A220+1,检修计划!$G$2:$G$992,"&gt;"&amp;$A220,检修计划!$H$2:$H$992,1)</f>
        <v/>
      </c>
      <c r="F220" s="5">
        <f>COUNTIFS(检修计划!$E$2:$E$992,"5",检修计划!$F$2:$F$992,"&lt;"&amp;$A220+1,检修计划!$G$2:$G$992,"&gt;"&amp;$A220,检修计划!$H$2:$H$992,1)</f>
        <v/>
      </c>
    </row>
    <row r="221" ht="23" customHeight="1">
      <c r="A221" s="9" t="n">
        <v>45146</v>
      </c>
      <c r="B221" s="5">
        <f>COUNTIFS(检修计划!$E$2:$E$992,"1",检修计划!$F$2:$F$992,"&lt;"&amp;$A221+1,检修计划!$G$2:$G$992,"&gt;"&amp;$A221,检修计划!$H$2:$H$992,1)</f>
        <v/>
      </c>
      <c r="C221" s="5">
        <f>COUNTIFS(检修计划!$E$2:$E$992,"2",检修计划!$F$2:$F$992,"&lt;"&amp;$A221+1,检修计划!$G$2:$G$992,"&gt;"&amp;$A221,检修计划!$H$2:$H$992,1)</f>
        <v/>
      </c>
      <c r="D221" s="5">
        <f>COUNTIFS(检修计划!$E$2:$E$992,"3",检修计划!$F$2:$F$992,"&lt;"&amp;$A221+1,检修计划!$G$2:$G$992,"&gt;"&amp;$A221,检修计划!$H$2:$H$992,1)</f>
        <v/>
      </c>
      <c r="E221" s="5">
        <f>COUNTIFS(检修计划!$E$2:$E$992,"4",检修计划!$F$2:$F$992,"&lt;"&amp;$A221+1,检修计划!$G$2:$G$992,"&gt;"&amp;$A221,检修计划!$H$2:$H$992,1)</f>
        <v/>
      </c>
      <c r="F221" s="5">
        <f>COUNTIFS(检修计划!$E$2:$E$992,"5",检修计划!$F$2:$F$992,"&lt;"&amp;$A221+1,检修计划!$G$2:$G$992,"&gt;"&amp;$A221,检修计划!$H$2:$H$992,1)</f>
        <v/>
      </c>
    </row>
    <row r="222" ht="23" customHeight="1">
      <c r="A222" s="9" t="n">
        <v>45147</v>
      </c>
      <c r="B222" s="5">
        <f>COUNTIFS(检修计划!$E$2:$E$992,"1",检修计划!$F$2:$F$992,"&lt;"&amp;$A222+1,检修计划!$G$2:$G$992,"&gt;"&amp;$A222,检修计划!$H$2:$H$992,1)</f>
        <v/>
      </c>
      <c r="C222" s="5">
        <f>COUNTIFS(检修计划!$E$2:$E$992,"2",检修计划!$F$2:$F$992,"&lt;"&amp;$A222+1,检修计划!$G$2:$G$992,"&gt;"&amp;$A222,检修计划!$H$2:$H$992,1)</f>
        <v/>
      </c>
      <c r="D222" s="5">
        <f>COUNTIFS(检修计划!$E$2:$E$992,"3",检修计划!$F$2:$F$992,"&lt;"&amp;$A222+1,检修计划!$G$2:$G$992,"&gt;"&amp;$A222,检修计划!$H$2:$H$992,1)</f>
        <v/>
      </c>
      <c r="E222" s="5">
        <f>COUNTIFS(检修计划!$E$2:$E$992,"4",检修计划!$F$2:$F$992,"&lt;"&amp;$A222+1,检修计划!$G$2:$G$992,"&gt;"&amp;$A222,检修计划!$H$2:$H$992,1)</f>
        <v/>
      </c>
      <c r="F222" s="5">
        <f>COUNTIFS(检修计划!$E$2:$E$992,"5",检修计划!$F$2:$F$992,"&lt;"&amp;$A222+1,检修计划!$G$2:$G$992,"&gt;"&amp;$A222,检修计划!$H$2:$H$992,1)</f>
        <v/>
      </c>
    </row>
    <row r="223" ht="23" customHeight="1">
      <c r="A223" s="9" t="n">
        <v>45148</v>
      </c>
      <c r="B223" s="5">
        <f>COUNTIFS(检修计划!$E$2:$E$992,"1",检修计划!$F$2:$F$992,"&lt;"&amp;$A223+1,检修计划!$G$2:$G$992,"&gt;"&amp;$A223,检修计划!$H$2:$H$992,1)</f>
        <v/>
      </c>
      <c r="C223" s="5">
        <f>COUNTIFS(检修计划!$E$2:$E$992,"2",检修计划!$F$2:$F$992,"&lt;"&amp;$A223+1,检修计划!$G$2:$G$992,"&gt;"&amp;$A223,检修计划!$H$2:$H$992,1)</f>
        <v/>
      </c>
      <c r="D223" s="5">
        <f>COUNTIFS(检修计划!$E$2:$E$992,"3",检修计划!$F$2:$F$992,"&lt;"&amp;$A223+1,检修计划!$G$2:$G$992,"&gt;"&amp;$A223,检修计划!$H$2:$H$992,1)</f>
        <v/>
      </c>
      <c r="E223" s="5">
        <f>COUNTIFS(检修计划!$E$2:$E$992,"4",检修计划!$F$2:$F$992,"&lt;"&amp;$A223+1,检修计划!$G$2:$G$992,"&gt;"&amp;$A223,检修计划!$H$2:$H$992,1)</f>
        <v/>
      </c>
      <c r="F223" s="5">
        <f>COUNTIFS(检修计划!$E$2:$E$992,"5",检修计划!$F$2:$F$992,"&lt;"&amp;$A223+1,检修计划!$G$2:$G$992,"&gt;"&amp;$A223,检修计划!$H$2:$H$992,1)</f>
        <v/>
      </c>
    </row>
    <row r="224" ht="23" customHeight="1">
      <c r="A224" s="9" t="n">
        <v>45149</v>
      </c>
      <c r="B224" s="5">
        <f>COUNTIFS(检修计划!$E$2:$E$992,"1",检修计划!$F$2:$F$992,"&lt;"&amp;$A224+1,检修计划!$G$2:$G$992,"&gt;"&amp;$A224,检修计划!$H$2:$H$992,1)</f>
        <v/>
      </c>
      <c r="C224" s="5">
        <f>COUNTIFS(检修计划!$E$2:$E$992,"2",检修计划!$F$2:$F$992,"&lt;"&amp;$A224+1,检修计划!$G$2:$G$992,"&gt;"&amp;$A224,检修计划!$H$2:$H$992,1)</f>
        <v/>
      </c>
      <c r="D224" s="5">
        <f>COUNTIFS(检修计划!$E$2:$E$992,"3",检修计划!$F$2:$F$992,"&lt;"&amp;$A224+1,检修计划!$G$2:$G$992,"&gt;"&amp;$A224,检修计划!$H$2:$H$992,1)</f>
        <v/>
      </c>
      <c r="E224" s="5">
        <f>COUNTIFS(检修计划!$E$2:$E$992,"4",检修计划!$F$2:$F$992,"&lt;"&amp;$A224+1,检修计划!$G$2:$G$992,"&gt;"&amp;$A224,检修计划!$H$2:$H$992,1)</f>
        <v/>
      </c>
      <c r="F224" s="5">
        <f>COUNTIFS(检修计划!$E$2:$E$992,"5",检修计划!$F$2:$F$992,"&lt;"&amp;$A224+1,检修计划!$G$2:$G$992,"&gt;"&amp;$A224,检修计划!$H$2:$H$992,1)</f>
        <v/>
      </c>
    </row>
    <row r="225" ht="23" customHeight="1">
      <c r="A225" s="9" t="n">
        <v>45150</v>
      </c>
      <c r="B225" s="5">
        <f>COUNTIFS(检修计划!$E$2:$E$992,"1",检修计划!$F$2:$F$992,"&lt;"&amp;$A225+1,检修计划!$G$2:$G$992,"&gt;"&amp;$A225,检修计划!$H$2:$H$992,1)</f>
        <v/>
      </c>
      <c r="C225" s="5">
        <f>COUNTIFS(检修计划!$E$2:$E$992,"2",检修计划!$F$2:$F$992,"&lt;"&amp;$A225+1,检修计划!$G$2:$G$992,"&gt;"&amp;$A225,检修计划!$H$2:$H$992,1)</f>
        <v/>
      </c>
      <c r="D225" s="5">
        <f>COUNTIFS(检修计划!$E$2:$E$992,"3",检修计划!$F$2:$F$992,"&lt;"&amp;$A225+1,检修计划!$G$2:$G$992,"&gt;"&amp;$A225,检修计划!$H$2:$H$992,1)</f>
        <v/>
      </c>
      <c r="E225" s="5">
        <f>COUNTIFS(检修计划!$E$2:$E$992,"4",检修计划!$F$2:$F$992,"&lt;"&amp;$A225+1,检修计划!$G$2:$G$992,"&gt;"&amp;$A225,检修计划!$H$2:$H$992,1)</f>
        <v/>
      </c>
      <c r="F225" s="5">
        <f>COUNTIFS(检修计划!$E$2:$E$992,"5",检修计划!$F$2:$F$992,"&lt;"&amp;$A225+1,检修计划!$G$2:$G$992,"&gt;"&amp;$A225,检修计划!$H$2:$H$992,1)</f>
        <v/>
      </c>
    </row>
    <row r="226" ht="23" customHeight="1">
      <c r="A226" s="9" t="n">
        <v>45151</v>
      </c>
      <c r="B226" s="5">
        <f>COUNTIFS(检修计划!$E$2:$E$992,"1",检修计划!$F$2:$F$992,"&lt;"&amp;$A226+1,检修计划!$G$2:$G$992,"&gt;"&amp;$A226,检修计划!$H$2:$H$992,1)</f>
        <v/>
      </c>
      <c r="C226" s="5">
        <f>COUNTIFS(检修计划!$E$2:$E$992,"2",检修计划!$F$2:$F$992,"&lt;"&amp;$A226+1,检修计划!$G$2:$G$992,"&gt;"&amp;$A226,检修计划!$H$2:$H$992,1)</f>
        <v/>
      </c>
      <c r="D226" s="5">
        <f>COUNTIFS(检修计划!$E$2:$E$992,"3",检修计划!$F$2:$F$992,"&lt;"&amp;$A226+1,检修计划!$G$2:$G$992,"&gt;"&amp;$A226,检修计划!$H$2:$H$992,1)</f>
        <v/>
      </c>
      <c r="E226" s="5">
        <f>COUNTIFS(检修计划!$E$2:$E$992,"4",检修计划!$F$2:$F$992,"&lt;"&amp;$A226+1,检修计划!$G$2:$G$992,"&gt;"&amp;$A226,检修计划!$H$2:$H$992,1)</f>
        <v/>
      </c>
      <c r="F226" s="5">
        <f>COUNTIFS(检修计划!$E$2:$E$992,"5",检修计划!$F$2:$F$992,"&lt;"&amp;$A226+1,检修计划!$G$2:$G$992,"&gt;"&amp;$A226,检修计划!$H$2:$H$992,1)</f>
        <v/>
      </c>
    </row>
    <row r="227" ht="23" customHeight="1">
      <c r="A227" s="9" t="n">
        <v>45152</v>
      </c>
      <c r="B227" s="5">
        <f>COUNTIFS(检修计划!$E$2:$E$992,"1",检修计划!$F$2:$F$992,"&lt;"&amp;$A227+1,检修计划!$G$2:$G$992,"&gt;"&amp;$A227,检修计划!$H$2:$H$992,1)</f>
        <v/>
      </c>
      <c r="C227" s="5">
        <f>COUNTIFS(检修计划!$E$2:$E$992,"2",检修计划!$F$2:$F$992,"&lt;"&amp;$A227+1,检修计划!$G$2:$G$992,"&gt;"&amp;$A227,检修计划!$H$2:$H$992,1)</f>
        <v/>
      </c>
      <c r="D227" s="5">
        <f>COUNTIFS(检修计划!$E$2:$E$992,"3",检修计划!$F$2:$F$992,"&lt;"&amp;$A227+1,检修计划!$G$2:$G$992,"&gt;"&amp;$A227,检修计划!$H$2:$H$992,1)</f>
        <v/>
      </c>
      <c r="E227" s="5">
        <f>COUNTIFS(检修计划!$E$2:$E$992,"4",检修计划!$F$2:$F$992,"&lt;"&amp;$A227+1,检修计划!$G$2:$G$992,"&gt;"&amp;$A227,检修计划!$H$2:$H$992,1)</f>
        <v/>
      </c>
      <c r="F227" s="5">
        <f>COUNTIFS(检修计划!$E$2:$E$992,"5",检修计划!$F$2:$F$992,"&lt;"&amp;$A227+1,检修计划!$G$2:$G$992,"&gt;"&amp;$A227,检修计划!$H$2:$H$992,1)</f>
        <v/>
      </c>
    </row>
    <row r="228" ht="23" customHeight="1">
      <c r="A228" s="9" t="n">
        <v>45153</v>
      </c>
      <c r="B228" s="5">
        <f>COUNTIFS(检修计划!$E$2:$E$992,"1",检修计划!$F$2:$F$992,"&lt;"&amp;$A228+1,检修计划!$G$2:$G$992,"&gt;"&amp;$A228,检修计划!$H$2:$H$992,1)</f>
        <v/>
      </c>
      <c r="C228" s="5">
        <f>COUNTIFS(检修计划!$E$2:$E$992,"2",检修计划!$F$2:$F$992,"&lt;"&amp;$A228+1,检修计划!$G$2:$G$992,"&gt;"&amp;$A228,检修计划!$H$2:$H$992,1)</f>
        <v/>
      </c>
      <c r="D228" s="5">
        <f>COUNTIFS(检修计划!$E$2:$E$992,"3",检修计划!$F$2:$F$992,"&lt;"&amp;$A228+1,检修计划!$G$2:$G$992,"&gt;"&amp;$A228,检修计划!$H$2:$H$992,1)</f>
        <v/>
      </c>
      <c r="E228" s="5">
        <f>COUNTIFS(检修计划!$E$2:$E$992,"4",检修计划!$F$2:$F$992,"&lt;"&amp;$A228+1,检修计划!$G$2:$G$992,"&gt;"&amp;$A228,检修计划!$H$2:$H$992,1)</f>
        <v/>
      </c>
      <c r="F228" s="5">
        <f>COUNTIFS(检修计划!$E$2:$E$992,"5",检修计划!$F$2:$F$992,"&lt;"&amp;$A228+1,检修计划!$G$2:$G$992,"&gt;"&amp;$A228,检修计划!$H$2:$H$992,1)</f>
        <v/>
      </c>
    </row>
    <row r="229" ht="23" customHeight="1">
      <c r="A229" s="9" t="n">
        <v>45154</v>
      </c>
      <c r="B229" s="5">
        <f>COUNTIFS(检修计划!$E$2:$E$992,"1",检修计划!$F$2:$F$992,"&lt;"&amp;$A229+1,检修计划!$G$2:$G$992,"&gt;"&amp;$A229,检修计划!$H$2:$H$992,1)</f>
        <v/>
      </c>
      <c r="C229" s="5">
        <f>COUNTIFS(检修计划!$E$2:$E$992,"2",检修计划!$F$2:$F$992,"&lt;"&amp;$A229+1,检修计划!$G$2:$G$992,"&gt;"&amp;$A229,检修计划!$H$2:$H$992,1)</f>
        <v/>
      </c>
      <c r="D229" s="5">
        <f>COUNTIFS(检修计划!$E$2:$E$992,"3",检修计划!$F$2:$F$992,"&lt;"&amp;$A229+1,检修计划!$G$2:$G$992,"&gt;"&amp;$A229,检修计划!$H$2:$H$992,1)</f>
        <v/>
      </c>
      <c r="E229" s="5">
        <f>COUNTIFS(检修计划!$E$2:$E$992,"4",检修计划!$F$2:$F$992,"&lt;"&amp;$A229+1,检修计划!$G$2:$G$992,"&gt;"&amp;$A229,检修计划!$H$2:$H$992,1)</f>
        <v/>
      </c>
      <c r="F229" s="5">
        <f>COUNTIFS(检修计划!$E$2:$E$992,"5",检修计划!$F$2:$F$992,"&lt;"&amp;$A229+1,检修计划!$G$2:$G$992,"&gt;"&amp;$A229,检修计划!$H$2:$H$992,1)</f>
        <v/>
      </c>
    </row>
    <row r="230" ht="23" customHeight="1">
      <c r="A230" s="9" t="n">
        <v>45155</v>
      </c>
      <c r="B230" s="5">
        <f>COUNTIFS(检修计划!$E$2:$E$992,"1",检修计划!$F$2:$F$992,"&lt;"&amp;$A230+1,检修计划!$G$2:$G$992,"&gt;"&amp;$A230,检修计划!$H$2:$H$992,1)</f>
        <v/>
      </c>
      <c r="C230" s="5">
        <f>COUNTIFS(检修计划!$E$2:$E$992,"2",检修计划!$F$2:$F$992,"&lt;"&amp;$A230+1,检修计划!$G$2:$G$992,"&gt;"&amp;$A230,检修计划!$H$2:$H$992,1)</f>
        <v/>
      </c>
      <c r="D230" s="5">
        <f>COUNTIFS(检修计划!$E$2:$E$992,"3",检修计划!$F$2:$F$992,"&lt;"&amp;$A230+1,检修计划!$G$2:$G$992,"&gt;"&amp;$A230,检修计划!$H$2:$H$992,1)</f>
        <v/>
      </c>
      <c r="E230" s="5">
        <f>COUNTIFS(检修计划!$E$2:$E$992,"4",检修计划!$F$2:$F$992,"&lt;"&amp;$A230+1,检修计划!$G$2:$G$992,"&gt;"&amp;$A230,检修计划!$H$2:$H$992,1)</f>
        <v/>
      </c>
      <c r="F230" s="5">
        <f>COUNTIFS(检修计划!$E$2:$E$992,"5",检修计划!$F$2:$F$992,"&lt;"&amp;$A230+1,检修计划!$G$2:$G$992,"&gt;"&amp;$A230,检修计划!$H$2:$H$992,1)</f>
        <v/>
      </c>
    </row>
    <row r="231" ht="23" customHeight="1">
      <c r="A231" s="9" t="n">
        <v>45156</v>
      </c>
      <c r="B231" s="5">
        <f>COUNTIFS(检修计划!$E$2:$E$992,"1",检修计划!$F$2:$F$992,"&lt;"&amp;$A231+1,检修计划!$G$2:$G$992,"&gt;"&amp;$A231,检修计划!$H$2:$H$992,1)</f>
        <v/>
      </c>
      <c r="C231" s="5">
        <f>COUNTIFS(检修计划!$E$2:$E$992,"2",检修计划!$F$2:$F$992,"&lt;"&amp;$A231+1,检修计划!$G$2:$G$992,"&gt;"&amp;$A231,检修计划!$H$2:$H$992,1)</f>
        <v/>
      </c>
      <c r="D231" s="5">
        <f>COUNTIFS(检修计划!$E$2:$E$992,"3",检修计划!$F$2:$F$992,"&lt;"&amp;$A231+1,检修计划!$G$2:$G$992,"&gt;"&amp;$A231,检修计划!$H$2:$H$992,1)</f>
        <v/>
      </c>
      <c r="E231" s="5">
        <f>COUNTIFS(检修计划!$E$2:$E$992,"4",检修计划!$F$2:$F$992,"&lt;"&amp;$A231+1,检修计划!$G$2:$G$992,"&gt;"&amp;$A231,检修计划!$H$2:$H$992,1)</f>
        <v/>
      </c>
      <c r="F231" s="5">
        <f>COUNTIFS(检修计划!$E$2:$E$992,"5",检修计划!$F$2:$F$992,"&lt;"&amp;$A231+1,检修计划!$G$2:$G$992,"&gt;"&amp;$A231,检修计划!$H$2:$H$992,1)</f>
        <v/>
      </c>
    </row>
    <row r="232" ht="23" customHeight="1">
      <c r="A232" s="9" t="n">
        <v>45157</v>
      </c>
      <c r="B232" s="5">
        <f>COUNTIFS(检修计划!$E$2:$E$992,"1",检修计划!$F$2:$F$992,"&lt;"&amp;$A232+1,检修计划!$G$2:$G$992,"&gt;"&amp;$A232,检修计划!$H$2:$H$992,1)</f>
        <v/>
      </c>
      <c r="C232" s="5">
        <f>COUNTIFS(检修计划!$E$2:$E$992,"2",检修计划!$F$2:$F$992,"&lt;"&amp;$A232+1,检修计划!$G$2:$G$992,"&gt;"&amp;$A232,检修计划!$H$2:$H$992,1)</f>
        <v/>
      </c>
      <c r="D232" s="5">
        <f>COUNTIFS(检修计划!$E$2:$E$992,"3",检修计划!$F$2:$F$992,"&lt;"&amp;$A232+1,检修计划!$G$2:$G$992,"&gt;"&amp;$A232,检修计划!$H$2:$H$992,1)</f>
        <v/>
      </c>
      <c r="E232" s="5">
        <f>COUNTIFS(检修计划!$E$2:$E$992,"4",检修计划!$F$2:$F$992,"&lt;"&amp;$A232+1,检修计划!$G$2:$G$992,"&gt;"&amp;$A232,检修计划!$H$2:$H$992,1)</f>
        <v/>
      </c>
      <c r="F232" s="5">
        <f>COUNTIFS(检修计划!$E$2:$E$992,"5",检修计划!$F$2:$F$992,"&lt;"&amp;$A232+1,检修计划!$G$2:$G$992,"&gt;"&amp;$A232,检修计划!$H$2:$H$992,1)</f>
        <v/>
      </c>
    </row>
    <row r="233" ht="23" customHeight="1">
      <c r="A233" s="9" t="n">
        <v>45158</v>
      </c>
      <c r="B233" s="5">
        <f>COUNTIFS(检修计划!$E$2:$E$992,"1",检修计划!$F$2:$F$992,"&lt;"&amp;$A233+1,检修计划!$G$2:$G$992,"&gt;"&amp;$A233,检修计划!$H$2:$H$992,1)</f>
        <v/>
      </c>
      <c r="C233" s="5">
        <f>COUNTIFS(检修计划!$E$2:$E$992,"2",检修计划!$F$2:$F$992,"&lt;"&amp;$A233+1,检修计划!$G$2:$G$992,"&gt;"&amp;$A233,检修计划!$H$2:$H$992,1)</f>
        <v/>
      </c>
      <c r="D233" s="5">
        <f>COUNTIFS(检修计划!$E$2:$E$992,"3",检修计划!$F$2:$F$992,"&lt;"&amp;$A233+1,检修计划!$G$2:$G$992,"&gt;"&amp;$A233,检修计划!$H$2:$H$992,1)</f>
        <v/>
      </c>
      <c r="E233" s="5">
        <f>COUNTIFS(检修计划!$E$2:$E$992,"4",检修计划!$F$2:$F$992,"&lt;"&amp;$A233+1,检修计划!$G$2:$G$992,"&gt;"&amp;$A233,检修计划!$H$2:$H$992,1)</f>
        <v/>
      </c>
      <c r="F233" s="5">
        <f>COUNTIFS(检修计划!$E$2:$E$992,"5",检修计划!$F$2:$F$992,"&lt;"&amp;$A233+1,检修计划!$G$2:$G$992,"&gt;"&amp;$A233,检修计划!$H$2:$H$992,1)</f>
        <v/>
      </c>
    </row>
    <row r="234" ht="23" customHeight="1">
      <c r="A234" s="9" t="n">
        <v>45159</v>
      </c>
      <c r="B234" s="5">
        <f>COUNTIFS(检修计划!$E$2:$E$992,"1",检修计划!$F$2:$F$992,"&lt;"&amp;$A234+1,检修计划!$G$2:$G$992,"&gt;"&amp;$A234,检修计划!$H$2:$H$992,1)</f>
        <v/>
      </c>
      <c r="C234" s="5">
        <f>COUNTIFS(检修计划!$E$2:$E$992,"2",检修计划!$F$2:$F$992,"&lt;"&amp;$A234+1,检修计划!$G$2:$G$992,"&gt;"&amp;$A234,检修计划!$H$2:$H$992,1)</f>
        <v/>
      </c>
      <c r="D234" s="5">
        <f>COUNTIFS(检修计划!$E$2:$E$992,"3",检修计划!$F$2:$F$992,"&lt;"&amp;$A234+1,检修计划!$G$2:$G$992,"&gt;"&amp;$A234,检修计划!$H$2:$H$992,1)</f>
        <v/>
      </c>
      <c r="E234" s="5">
        <f>COUNTIFS(检修计划!$E$2:$E$992,"4",检修计划!$F$2:$F$992,"&lt;"&amp;$A234+1,检修计划!$G$2:$G$992,"&gt;"&amp;$A234,检修计划!$H$2:$H$992,1)</f>
        <v/>
      </c>
      <c r="F234" s="5">
        <f>COUNTIFS(检修计划!$E$2:$E$992,"5",检修计划!$F$2:$F$992,"&lt;"&amp;$A234+1,检修计划!$G$2:$G$992,"&gt;"&amp;$A234,检修计划!$H$2:$H$992,1)</f>
        <v/>
      </c>
    </row>
    <row r="235" ht="23" customHeight="1">
      <c r="A235" s="9" t="n">
        <v>45160</v>
      </c>
      <c r="B235" s="5">
        <f>COUNTIFS(检修计划!$E$2:$E$992,"1",检修计划!$F$2:$F$992,"&lt;"&amp;$A235+1,检修计划!$G$2:$G$992,"&gt;"&amp;$A235,检修计划!$H$2:$H$992,1)</f>
        <v/>
      </c>
      <c r="C235" s="5">
        <f>COUNTIFS(检修计划!$E$2:$E$992,"2",检修计划!$F$2:$F$992,"&lt;"&amp;$A235+1,检修计划!$G$2:$G$992,"&gt;"&amp;$A235,检修计划!$H$2:$H$992,1)</f>
        <v/>
      </c>
      <c r="D235" s="5">
        <f>COUNTIFS(检修计划!$E$2:$E$992,"3",检修计划!$F$2:$F$992,"&lt;"&amp;$A235+1,检修计划!$G$2:$G$992,"&gt;"&amp;$A235,检修计划!$H$2:$H$992,1)</f>
        <v/>
      </c>
      <c r="E235" s="5">
        <f>COUNTIFS(检修计划!$E$2:$E$992,"4",检修计划!$F$2:$F$992,"&lt;"&amp;$A235+1,检修计划!$G$2:$G$992,"&gt;"&amp;$A235,检修计划!$H$2:$H$992,1)</f>
        <v/>
      </c>
      <c r="F235" s="5">
        <f>COUNTIFS(检修计划!$E$2:$E$992,"5",检修计划!$F$2:$F$992,"&lt;"&amp;$A235+1,检修计划!$G$2:$G$992,"&gt;"&amp;$A235,检修计划!$H$2:$H$992,1)</f>
        <v/>
      </c>
    </row>
    <row r="236" ht="23" customHeight="1">
      <c r="A236" s="9" t="n">
        <v>45161</v>
      </c>
      <c r="B236" s="5">
        <f>COUNTIFS(检修计划!$E$2:$E$992,"1",检修计划!$F$2:$F$992,"&lt;"&amp;$A236+1,检修计划!$G$2:$G$992,"&gt;"&amp;$A236,检修计划!$H$2:$H$992,1)</f>
        <v/>
      </c>
      <c r="C236" s="5">
        <f>COUNTIFS(检修计划!$E$2:$E$992,"2",检修计划!$F$2:$F$992,"&lt;"&amp;$A236+1,检修计划!$G$2:$G$992,"&gt;"&amp;$A236,检修计划!$H$2:$H$992,1)</f>
        <v/>
      </c>
      <c r="D236" s="5">
        <f>COUNTIFS(检修计划!$E$2:$E$992,"3",检修计划!$F$2:$F$992,"&lt;"&amp;$A236+1,检修计划!$G$2:$G$992,"&gt;"&amp;$A236,检修计划!$H$2:$H$992,1)</f>
        <v/>
      </c>
      <c r="E236" s="5">
        <f>COUNTIFS(检修计划!$E$2:$E$992,"4",检修计划!$F$2:$F$992,"&lt;"&amp;$A236+1,检修计划!$G$2:$G$992,"&gt;"&amp;$A236,检修计划!$H$2:$H$992,1)</f>
        <v/>
      </c>
      <c r="F236" s="5">
        <f>COUNTIFS(检修计划!$E$2:$E$992,"5",检修计划!$F$2:$F$992,"&lt;"&amp;$A236+1,检修计划!$G$2:$G$992,"&gt;"&amp;$A236,检修计划!$H$2:$H$992,1)</f>
        <v/>
      </c>
    </row>
    <row r="237" ht="23" customHeight="1">
      <c r="A237" s="9" t="n">
        <v>45162</v>
      </c>
      <c r="B237" s="5">
        <f>COUNTIFS(检修计划!$E$2:$E$992,"1",检修计划!$F$2:$F$992,"&lt;"&amp;$A237+1,检修计划!$G$2:$G$992,"&gt;"&amp;$A237,检修计划!$H$2:$H$992,1)</f>
        <v/>
      </c>
      <c r="C237" s="5">
        <f>COUNTIFS(检修计划!$E$2:$E$992,"2",检修计划!$F$2:$F$992,"&lt;"&amp;$A237+1,检修计划!$G$2:$G$992,"&gt;"&amp;$A237,检修计划!$H$2:$H$992,1)</f>
        <v/>
      </c>
      <c r="D237" s="5">
        <f>COUNTIFS(检修计划!$E$2:$E$992,"3",检修计划!$F$2:$F$992,"&lt;"&amp;$A237+1,检修计划!$G$2:$G$992,"&gt;"&amp;$A237,检修计划!$H$2:$H$992,1)</f>
        <v/>
      </c>
      <c r="E237" s="5">
        <f>COUNTIFS(检修计划!$E$2:$E$992,"4",检修计划!$F$2:$F$992,"&lt;"&amp;$A237+1,检修计划!$G$2:$G$992,"&gt;"&amp;$A237,检修计划!$H$2:$H$992,1)</f>
        <v/>
      </c>
      <c r="F237" s="5">
        <f>COUNTIFS(检修计划!$E$2:$E$992,"5",检修计划!$F$2:$F$992,"&lt;"&amp;$A237+1,检修计划!$G$2:$G$992,"&gt;"&amp;$A237,检修计划!$H$2:$H$992,1)</f>
        <v/>
      </c>
    </row>
    <row r="238" ht="23" customHeight="1">
      <c r="A238" s="9" t="n">
        <v>45163</v>
      </c>
      <c r="B238" s="5">
        <f>COUNTIFS(检修计划!$E$2:$E$992,"1",检修计划!$F$2:$F$992,"&lt;"&amp;$A238+1,检修计划!$G$2:$G$992,"&gt;"&amp;$A238,检修计划!$H$2:$H$992,1)</f>
        <v/>
      </c>
      <c r="C238" s="5">
        <f>COUNTIFS(检修计划!$E$2:$E$992,"2",检修计划!$F$2:$F$992,"&lt;"&amp;$A238+1,检修计划!$G$2:$G$992,"&gt;"&amp;$A238,检修计划!$H$2:$H$992,1)</f>
        <v/>
      </c>
      <c r="D238" s="5">
        <f>COUNTIFS(检修计划!$E$2:$E$992,"3",检修计划!$F$2:$F$992,"&lt;"&amp;$A238+1,检修计划!$G$2:$G$992,"&gt;"&amp;$A238,检修计划!$H$2:$H$992,1)</f>
        <v/>
      </c>
      <c r="E238" s="5">
        <f>COUNTIFS(检修计划!$E$2:$E$992,"4",检修计划!$F$2:$F$992,"&lt;"&amp;$A238+1,检修计划!$G$2:$G$992,"&gt;"&amp;$A238,检修计划!$H$2:$H$992,1)</f>
        <v/>
      </c>
      <c r="F238" s="5">
        <f>COUNTIFS(检修计划!$E$2:$E$992,"5",检修计划!$F$2:$F$992,"&lt;"&amp;$A238+1,检修计划!$G$2:$G$992,"&gt;"&amp;$A238,检修计划!$H$2:$H$992,1)</f>
        <v/>
      </c>
    </row>
    <row r="239" ht="23" customHeight="1">
      <c r="A239" s="9" t="n">
        <v>45164</v>
      </c>
      <c r="B239" s="5">
        <f>COUNTIFS(检修计划!$E$2:$E$992,"1",检修计划!$F$2:$F$992,"&lt;"&amp;$A239+1,检修计划!$G$2:$G$992,"&gt;"&amp;$A239,检修计划!$H$2:$H$992,1)</f>
        <v/>
      </c>
      <c r="C239" s="5">
        <f>COUNTIFS(检修计划!$E$2:$E$992,"2",检修计划!$F$2:$F$992,"&lt;"&amp;$A239+1,检修计划!$G$2:$G$992,"&gt;"&amp;$A239,检修计划!$H$2:$H$992,1)</f>
        <v/>
      </c>
      <c r="D239" s="5">
        <f>COUNTIFS(检修计划!$E$2:$E$992,"3",检修计划!$F$2:$F$992,"&lt;"&amp;$A239+1,检修计划!$G$2:$G$992,"&gt;"&amp;$A239,检修计划!$H$2:$H$992,1)</f>
        <v/>
      </c>
      <c r="E239" s="5">
        <f>COUNTIFS(检修计划!$E$2:$E$992,"4",检修计划!$F$2:$F$992,"&lt;"&amp;$A239+1,检修计划!$G$2:$G$992,"&gt;"&amp;$A239,检修计划!$H$2:$H$992,1)</f>
        <v/>
      </c>
      <c r="F239" s="5">
        <f>COUNTIFS(检修计划!$E$2:$E$992,"5",检修计划!$F$2:$F$992,"&lt;"&amp;$A239+1,检修计划!$G$2:$G$992,"&gt;"&amp;$A239,检修计划!$H$2:$H$992,1)</f>
        <v/>
      </c>
    </row>
    <row r="240" ht="23" customHeight="1">
      <c r="A240" s="9" t="n">
        <v>45165</v>
      </c>
      <c r="B240" s="5">
        <f>COUNTIFS(检修计划!$E$2:$E$992,"1",检修计划!$F$2:$F$992,"&lt;"&amp;$A240+1,检修计划!$G$2:$G$992,"&gt;"&amp;$A240,检修计划!$H$2:$H$992,1)</f>
        <v/>
      </c>
      <c r="C240" s="5">
        <f>COUNTIFS(检修计划!$E$2:$E$992,"2",检修计划!$F$2:$F$992,"&lt;"&amp;$A240+1,检修计划!$G$2:$G$992,"&gt;"&amp;$A240,检修计划!$H$2:$H$992,1)</f>
        <v/>
      </c>
      <c r="D240" s="5">
        <f>COUNTIFS(检修计划!$E$2:$E$992,"3",检修计划!$F$2:$F$992,"&lt;"&amp;$A240+1,检修计划!$G$2:$G$992,"&gt;"&amp;$A240,检修计划!$H$2:$H$992,1)</f>
        <v/>
      </c>
      <c r="E240" s="5">
        <f>COUNTIFS(检修计划!$E$2:$E$992,"4",检修计划!$F$2:$F$992,"&lt;"&amp;$A240+1,检修计划!$G$2:$G$992,"&gt;"&amp;$A240,检修计划!$H$2:$H$992,1)</f>
        <v/>
      </c>
      <c r="F240" s="5">
        <f>COUNTIFS(检修计划!$E$2:$E$992,"5",检修计划!$F$2:$F$992,"&lt;"&amp;$A240+1,检修计划!$G$2:$G$992,"&gt;"&amp;$A240,检修计划!$H$2:$H$992,1)</f>
        <v/>
      </c>
    </row>
    <row r="241" ht="23" customHeight="1">
      <c r="A241" s="9" t="n">
        <v>45166</v>
      </c>
      <c r="B241" s="5">
        <f>COUNTIFS(检修计划!$E$2:$E$992,"1",检修计划!$F$2:$F$992,"&lt;"&amp;$A241+1,检修计划!$G$2:$G$992,"&gt;"&amp;$A241,检修计划!$H$2:$H$992,1)</f>
        <v/>
      </c>
      <c r="C241" s="5">
        <f>COUNTIFS(检修计划!$E$2:$E$992,"2",检修计划!$F$2:$F$992,"&lt;"&amp;$A241+1,检修计划!$G$2:$G$992,"&gt;"&amp;$A241,检修计划!$H$2:$H$992,1)</f>
        <v/>
      </c>
      <c r="D241" s="5">
        <f>COUNTIFS(检修计划!$E$2:$E$992,"3",检修计划!$F$2:$F$992,"&lt;"&amp;$A241+1,检修计划!$G$2:$G$992,"&gt;"&amp;$A241,检修计划!$H$2:$H$992,1)</f>
        <v/>
      </c>
      <c r="E241" s="5">
        <f>COUNTIFS(检修计划!$E$2:$E$992,"4",检修计划!$F$2:$F$992,"&lt;"&amp;$A241+1,检修计划!$G$2:$G$992,"&gt;"&amp;$A241,检修计划!$H$2:$H$992,1)</f>
        <v/>
      </c>
      <c r="F241" s="5">
        <f>COUNTIFS(检修计划!$E$2:$E$992,"5",检修计划!$F$2:$F$992,"&lt;"&amp;$A241+1,检修计划!$G$2:$G$992,"&gt;"&amp;$A241,检修计划!$H$2:$H$992,1)</f>
        <v/>
      </c>
    </row>
    <row r="242" ht="23" customHeight="1">
      <c r="A242" s="9" t="n">
        <v>45167</v>
      </c>
      <c r="B242" s="5">
        <f>COUNTIFS(检修计划!$E$2:$E$992,"1",检修计划!$F$2:$F$992,"&lt;"&amp;$A242+1,检修计划!$G$2:$G$992,"&gt;"&amp;$A242,检修计划!$H$2:$H$992,1)</f>
        <v/>
      </c>
      <c r="C242" s="5">
        <f>COUNTIFS(检修计划!$E$2:$E$992,"2",检修计划!$F$2:$F$992,"&lt;"&amp;$A242+1,检修计划!$G$2:$G$992,"&gt;"&amp;$A242,检修计划!$H$2:$H$992,1)</f>
        <v/>
      </c>
      <c r="D242" s="5">
        <f>COUNTIFS(检修计划!$E$2:$E$992,"3",检修计划!$F$2:$F$992,"&lt;"&amp;$A242+1,检修计划!$G$2:$G$992,"&gt;"&amp;$A242,检修计划!$H$2:$H$992,1)</f>
        <v/>
      </c>
      <c r="E242" s="5">
        <f>COUNTIFS(检修计划!$E$2:$E$992,"4",检修计划!$F$2:$F$992,"&lt;"&amp;$A242+1,检修计划!$G$2:$G$992,"&gt;"&amp;$A242,检修计划!$H$2:$H$992,1)</f>
        <v/>
      </c>
      <c r="F242" s="5">
        <f>COUNTIFS(检修计划!$E$2:$E$992,"5",检修计划!$F$2:$F$992,"&lt;"&amp;$A242+1,检修计划!$G$2:$G$992,"&gt;"&amp;$A242,检修计划!$H$2:$H$992,1)</f>
        <v/>
      </c>
    </row>
    <row r="243" ht="23" customHeight="1">
      <c r="A243" s="9" t="n">
        <v>45168</v>
      </c>
      <c r="B243" s="5">
        <f>COUNTIFS(检修计划!$E$2:$E$992,"1",检修计划!$F$2:$F$992,"&lt;"&amp;$A243+1,检修计划!$G$2:$G$992,"&gt;"&amp;$A243,检修计划!$H$2:$H$992,1)</f>
        <v/>
      </c>
      <c r="C243" s="5">
        <f>COUNTIFS(检修计划!$E$2:$E$992,"2",检修计划!$F$2:$F$992,"&lt;"&amp;$A243+1,检修计划!$G$2:$G$992,"&gt;"&amp;$A243,检修计划!$H$2:$H$992,1)</f>
        <v/>
      </c>
      <c r="D243" s="5">
        <f>COUNTIFS(检修计划!$E$2:$E$992,"3",检修计划!$F$2:$F$992,"&lt;"&amp;$A243+1,检修计划!$G$2:$G$992,"&gt;"&amp;$A243,检修计划!$H$2:$H$992,1)</f>
        <v/>
      </c>
      <c r="E243" s="5">
        <f>COUNTIFS(检修计划!$E$2:$E$992,"4",检修计划!$F$2:$F$992,"&lt;"&amp;$A243+1,检修计划!$G$2:$G$992,"&gt;"&amp;$A243,检修计划!$H$2:$H$992,1)</f>
        <v/>
      </c>
      <c r="F243" s="5">
        <f>COUNTIFS(检修计划!$E$2:$E$992,"5",检修计划!$F$2:$F$992,"&lt;"&amp;$A243+1,检修计划!$G$2:$G$992,"&gt;"&amp;$A243,检修计划!$H$2:$H$992,1)</f>
        <v/>
      </c>
    </row>
    <row r="244" ht="23" customHeight="1">
      <c r="A244" s="9" t="n">
        <v>45169</v>
      </c>
      <c r="B244" s="5">
        <f>COUNTIFS(检修计划!$E$2:$E$992,"1",检修计划!$F$2:$F$992,"&lt;"&amp;$A244+1,检修计划!$G$2:$G$992,"&gt;"&amp;$A244,检修计划!$H$2:$H$992,1)</f>
        <v/>
      </c>
      <c r="C244" s="5">
        <f>COUNTIFS(检修计划!$E$2:$E$992,"2",检修计划!$F$2:$F$992,"&lt;"&amp;$A244+1,检修计划!$G$2:$G$992,"&gt;"&amp;$A244,检修计划!$H$2:$H$992,1)</f>
        <v/>
      </c>
      <c r="D244" s="5">
        <f>COUNTIFS(检修计划!$E$2:$E$992,"3",检修计划!$F$2:$F$992,"&lt;"&amp;$A244+1,检修计划!$G$2:$G$992,"&gt;"&amp;$A244,检修计划!$H$2:$H$992,1)</f>
        <v/>
      </c>
      <c r="E244" s="5">
        <f>COUNTIFS(检修计划!$E$2:$E$992,"4",检修计划!$F$2:$F$992,"&lt;"&amp;$A244+1,检修计划!$G$2:$G$992,"&gt;"&amp;$A244,检修计划!$H$2:$H$992,1)</f>
        <v/>
      </c>
      <c r="F244" s="5">
        <f>COUNTIFS(检修计划!$E$2:$E$992,"5",检修计划!$F$2:$F$992,"&lt;"&amp;$A244+1,检修计划!$G$2:$G$992,"&gt;"&amp;$A244,检修计划!$H$2:$H$992,1)</f>
        <v/>
      </c>
    </row>
    <row r="245" ht="23" customHeight="1">
      <c r="A245" s="9" t="n">
        <v>45170</v>
      </c>
      <c r="B245" s="5">
        <f>COUNTIFS(检修计划!$E$2:$E$992,"1",检修计划!$F$2:$F$992,"&lt;"&amp;$A245+1,检修计划!$G$2:$G$992,"&gt;"&amp;$A245,检修计划!$H$2:$H$992,1)</f>
        <v/>
      </c>
      <c r="C245" s="5">
        <f>COUNTIFS(检修计划!$E$2:$E$992,"2",检修计划!$F$2:$F$992,"&lt;"&amp;$A245+1,检修计划!$G$2:$G$992,"&gt;"&amp;$A245,检修计划!$H$2:$H$992,1)</f>
        <v/>
      </c>
      <c r="D245" s="5">
        <f>COUNTIFS(检修计划!$E$2:$E$992,"3",检修计划!$F$2:$F$992,"&lt;"&amp;$A245+1,检修计划!$G$2:$G$992,"&gt;"&amp;$A245,检修计划!$H$2:$H$992,1)</f>
        <v/>
      </c>
      <c r="E245" s="5">
        <f>COUNTIFS(检修计划!$E$2:$E$992,"4",检修计划!$F$2:$F$992,"&lt;"&amp;$A245+1,检修计划!$G$2:$G$992,"&gt;"&amp;$A245,检修计划!$H$2:$H$992,1)</f>
        <v/>
      </c>
      <c r="F245" s="5">
        <f>COUNTIFS(检修计划!$E$2:$E$992,"5",检修计划!$F$2:$F$992,"&lt;"&amp;$A245+1,检修计划!$G$2:$G$992,"&gt;"&amp;$A245,检修计划!$H$2:$H$992,1)</f>
        <v/>
      </c>
    </row>
    <row r="246" ht="23" customHeight="1">
      <c r="A246" s="9" t="n">
        <v>45171</v>
      </c>
      <c r="B246" s="5">
        <f>COUNTIFS(检修计划!$E$2:$E$992,"1",检修计划!$F$2:$F$992,"&lt;"&amp;$A246+1,检修计划!$G$2:$G$992,"&gt;"&amp;$A246,检修计划!$H$2:$H$992,1)</f>
        <v/>
      </c>
      <c r="C246" s="5">
        <f>COUNTIFS(检修计划!$E$2:$E$992,"2",检修计划!$F$2:$F$992,"&lt;"&amp;$A246+1,检修计划!$G$2:$G$992,"&gt;"&amp;$A246,检修计划!$H$2:$H$992,1)</f>
        <v/>
      </c>
      <c r="D246" s="5">
        <f>COUNTIFS(检修计划!$E$2:$E$992,"3",检修计划!$F$2:$F$992,"&lt;"&amp;$A246+1,检修计划!$G$2:$G$992,"&gt;"&amp;$A246,检修计划!$H$2:$H$992,1)</f>
        <v/>
      </c>
      <c r="E246" s="5">
        <f>COUNTIFS(检修计划!$E$2:$E$992,"4",检修计划!$F$2:$F$992,"&lt;"&amp;$A246+1,检修计划!$G$2:$G$992,"&gt;"&amp;$A246,检修计划!$H$2:$H$992,1)</f>
        <v/>
      </c>
      <c r="F246" s="5">
        <f>COUNTIFS(检修计划!$E$2:$E$992,"5",检修计划!$F$2:$F$992,"&lt;"&amp;$A246+1,检修计划!$G$2:$G$992,"&gt;"&amp;$A246,检修计划!$H$2:$H$992,1)</f>
        <v/>
      </c>
    </row>
    <row r="247" ht="23" customHeight="1">
      <c r="A247" s="9" t="n">
        <v>45172</v>
      </c>
      <c r="B247" s="5">
        <f>COUNTIFS(检修计划!$E$2:$E$992,"1",检修计划!$F$2:$F$992,"&lt;"&amp;$A247+1,检修计划!$G$2:$G$992,"&gt;"&amp;$A247,检修计划!$H$2:$H$992,1)</f>
        <v/>
      </c>
      <c r="C247" s="5">
        <f>COUNTIFS(检修计划!$E$2:$E$992,"2",检修计划!$F$2:$F$992,"&lt;"&amp;$A247+1,检修计划!$G$2:$G$992,"&gt;"&amp;$A247,检修计划!$H$2:$H$992,1)</f>
        <v/>
      </c>
      <c r="D247" s="5">
        <f>COUNTIFS(检修计划!$E$2:$E$992,"3",检修计划!$F$2:$F$992,"&lt;"&amp;$A247+1,检修计划!$G$2:$G$992,"&gt;"&amp;$A247,检修计划!$H$2:$H$992,1)</f>
        <v/>
      </c>
      <c r="E247" s="5">
        <f>COUNTIFS(检修计划!$E$2:$E$992,"4",检修计划!$F$2:$F$992,"&lt;"&amp;$A247+1,检修计划!$G$2:$G$992,"&gt;"&amp;$A247,检修计划!$H$2:$H$992,1)</f>
        <v/>
      </c>
      <c r="F247" s="5">
        <f>COUNTIFS(检修计划!$E$2:$E$992,"5",检修计划!$F$2:$F$992,"&lt;"&amp;$A247+1,检修计划!$G$2:$G$992,"&gt;"&amp;$A247,检修计划!$H$2:$H$992,1)</f>
        <v/>
      </c>
    </row>
    <row r="248" ht="23" customHeight="1">
      <c r="A248" s="9" t="n">
        <v>45173</v>
      </c>
      <c r="B248" s="5">
        <f>COUNTIFS(检修计划!$E$2:$E$992,"1",检修计划!$F$2:$F$992,"&lt;"&amp;$A248+1,检修计划!$G$2:$G$992,"&gt;"&amp;$A248,检修计划!$H$2:$H$992,1)</f>
        <v/>
      </c>
      <c r="C248" s="5">
        <f>COUNTIFS(检修计划!$E$2:$E$992,"2",检修计划!$F$2:$F$992,"&lt;"&amp;$A248+1,检修计划!$G$2:$G$992,"&gt;"&amp;$A248,检修计划!$H$2:$H$992,1)</f>
        <v/>
      </c>
      <c r="D248" s="5">
        <f>COUNTIFS(检修计划!$E$2:$E$992,"3",检修计划!$F$2:$F$992,"&lt;"&amp;$A248+1,检修计划!$G$2:$G$992,"&gt;"&amp;$A248,检修计划!$H$2:$H$992,1)</f>
        <v/>
      </c>
      <c r="E248" s="5">
        <f>COUNTIFS(检修计划!$E$2:$E$992,"4",检修计划!$F$2:$F$992,"&lt;"&amp;$A248+1,检修计划!$G$2:$G$992,"&gt;"&amp;$A248,检修计划!$H$2:$H$992,1)</f>
        <v/>
      </c>
      <c r="F248" s="5">
        <f>COUNTIFS(检修计划!$E$2:$E$992,"5",检修计划!$F$2:$F$992,"&lt;"&amp;$A248+1,检修计划!$G$2:$G$992,"&gt;"&amp;$A248,检修计划!$H$2:$H$992,1)</f>
        <v/>
      </c>
    </row>
    <row r="249" ht="23" customHeight="1">
      <c r="A249" s="9" t="n">
        <v>45174</v>
      </c>
      <c r="B249" s="5">
        <f>COUNTIFS(检修计划!$E$2:$E$992,"1",检修计划!$F$2:$F$992,"&lt;"&amp;$A249+1,检修计划!$G$2:$G$992,"&gt;"&amp;$A249,检修计划!$H$2:$H$992,1)</f>
        <v/>
      </c>
      <c r="C249" s="5">
        <f>COUNTIFS(检修计划!$E$2:$E$992,"2",检修计划!$F$2:$F$992,"&lt;"&amp;$A249+1,检修计划!$G$2:$G$992,"&gt;"&amp;$A249,检修计划!$H$2:$H$992,1)</f>
        <v/>
      </c>
      <c r="D249" s="5">
        <f>COUNTIFS(检修计划!$E$2:$E$992,"3",检修计划!$F$2:$F$992,"&lt;"&amp;$A249+1,检修计划!$G$2:$G$992,"&gt;"&amp;$A249,检修计划!$H$2:$H$992,1)</f>
        <v/>
      </c>
      <c r="E249" s="5">
        <f>COUNTIFS(检修计划!$E$2:$E$992,"4",检修计划!$F$2:$F$992,"&lt;"&amp;$A249+1,检修计划!$G$2:$G$992,"&gt;"&amp;$A249,检修计划!$H$2:$H$992,1)</f>
        <v/>
      </c>
      <c r="F249" s="5">
        <f>COUNTIFS(检修计划!$E$2:$E$992,"5",检修计划!$F$2:$F$992,"&lt;"&amp;$A249+1,检修计划!$G$2:$G$992,"&gt;"&amp;$A249,检修计划!$H$2:$H$992,1)</f>
        <v/>
      </c>
    </row>
    <row r="250" ht="23" customHeight="1">
      <c r="A250" s="9" t="n">
        <v>45175</v>
      </c>
      <c r="B250" s="5">
        <f>COUNTIFS(检修计划!$E$2:$E$992,"1",检修计划!$F$2:$F$992,"&lt;"&amp;$A250+1,检修计划!$G$2:$G$992,"&gt;"&amp;$A250,检修计划!$H$2:$H$992,1)</f>
        <v/>
      </c>
      <c r="C250" s="5">
        <f>COUNTIFS(检修计划!$E$2:$E$992,"2",检修计划!$F$2:$F$992,"&lt;"&amp;$A250+1,检修计划!$G$2:$G$992,"&gt;"&amp;$A250,检修计划!$H$2:$H$992,1)</f>
        <v/>
      </c>
      <c r="D250" s="5">
        <f>COUNTIFS(检修计划!$E$2:$E$992,"3",检修计划!$F$2:$F$992,"&lt;"&amp;$A250+1,检修计划!$G$2:$G$992,"&gt;"&amp;$A250,检修计划!$H$2:$H$992,1)</f>
        <v/>
      </c>
      <c r="E250" s="5">
        <f>COUNTIFS(检修计划!$E$2:$E$992,"4",检修计划!$F$2:$F$992,"&lt;"&amp;$A250+1,检修计划!$G$2:$G$992,"&gt;"&amp;$A250,检修计划!$H$2:$H$992,1)</f>
        <v/>
      </c>
      <c r="F250" s="5">
        <f>COUNTIFS(检修计划!$E$2:$E$992,"5",检修计划!$F$2:$F$992,"&lt;"&amp;$A250+1,检修计划!$G$2:$G$992,"&gt;"&amp;$A250,检修计划!$H$2:$H$992,1)</f>
        <v/>
      </c>
    </row>
    <row r="251" ht="23" customHeight="1">
      <c r="A251" s="9" t="n">
        <v>45176</v>
      </c>
      <c r="B251" s="5">
        <f>COUNTIFS(检修计划!$E$2:$E$992,"1",检修计划!$F$2:$F$992,"&lt;"&amp;$A251+1,检修计划!$G$2:$G$992,"&gt;"&amp;$A251,检修计划!$H$2:$H$992,1)</f>
        <v/>
      </c>
      <c r="C251" s="5">
        <f>COUNTIFS(检修计划!$E$2:$E$992,"2",检修计划!$F$2:$F$992,"&lt;"&amp;$A251+1,检修计划!$G$2:$G$992,"&gt;"&amp;$A251,检修计划!$H$2:$H$992,1)</f>
        <v/>
      </c>
      <c r="D251" s="5">
        <f>COUNTIFS(检修计划!$E$2:$E$992,"3",检修计划!$F$2:$F$992,"&lt;"&amp;$A251+1,检修计划!$G$2:$G$992,"&gt;"&amp;$A251,检修计划!$H$2:$H$992,1)</f>
        <v/>
      </c>
      <c r="E251" s="5">
        <f>COUNTIFS(检修计划!$E$2:$E$992,"4",检修计划!$F$2:$F$992,"&lt;"&amp;$A251+1,检修计划!$G$2:$G$992,"&gt;"&amp;$A251,检修计划!$H$2:$H$992,1)</f>
        <v/>
      </c>
      <c r="F251" s="5">
        <f>COUNTIFS(检修计划!$E$2:$E$992,"5",检修计划!$F$2:$F$992,"&lt;"&amp;$A251+1,检修计划!$G$2:$G$992,"&gt;"&amp;$A251,检修计划!$H$2:$H$992,1)</f>
        <v/>
      </c>
    </row>
    <row r="252" ht="23" customHeight="1">
      <c r="A252" s="9" t="n">
        <v>45177</v>
      </c>
      <c r="B252" s="5">
        <f>COUNTIFS(检修计划!$E$2:$E$992,"1",检修计划!$F$2:$F$992,"&lt;"&amp;$A252+1,检修计划!$G$2:$G$992,"&gt;"&amp;$A252,检修计划!$H$2:$H$992,1)</f>
        <v/>
      </c>
      <c r="C252" s="5">
        <f>COUNTIFS(检修计划!$E$2:$E$992,"2",检修计划!$F$2:$F$992,"&lt;"&amp;$A252+1,检修计划!$G$2:$G$992,"&gt;"&amp;$A252,检修计划!$H$2:$H$992,1)</f>
        <v/>
      </c>
      <c r="D252" s="5">
        <f>COUNTIFS(检修计划!$E$2:$E$992,"3",检修计划!$F$2:$F$992,"&lt;"&amp;$A252+1,检修计划!$G$2:$G$992,"&gt;"&amp;$A252,检修计划!$H$2:$H$992,1)</f>
        <v/>
      </c>
      <c r="E252" s="5">
        <f>COUNTIFS(检修计划!$E$2:$E$992,"4",检修计划!$F$2:$F$992,"&lt;"&amp;$A252+1,检修计划!$G$2:$G$992,"&gt;"&amp;$A252,检修计划!$H$2:$H$992,1)</f>
        <v/>
      </c>
      <c r="F252" s="5">
        <f>COUNTIFS(检修计划!$E$2:$E$992,"5",检修计划!$F$2:$F$992,"&lt;"&amp;$A252+1,检修计划!$G$2:$G$992,"&gt;"&amp;$A252,检修计划!$H$2:$H$992,1)</f>
        <v/>
      </c>
    </row>
    <row r="253" ht="23" customHeight="1">
      <c r="A253" s="9" t="n">
        <v>45178</v>
      </c>
      <c r="B253" s="5">
        <f>COUNTIFS(检修计划!$E$2:$E$992,"1",检修计划!$F$2:$F$992,"&lt;"&amp;$A253+1,检修计划!$G$2:$G$992,"&gt;"&amp;$A253,检修计划!$H$2:$H$992,1)</f>
        <v/>
      </c>
      <c r="C253" s="5">
        <f>COUNTIFS(检修计划!$E$2:$E$992,"2",检修计划!$F$2:$F$992,"&lt;"&amp;$A253+1,检修计划!$G$2:$G$992,"&gt;"&amp;$A253,检修计划!$H$2:$H$992,1)</f>
        <v/>
      </c>
      <c r="D253" s="5">
        <f>COUNTIFS(检修计划!$E$2:$E$992,"3",检修计划!$F$2:$F$992,"&lt;"&amp;$A253+1,检修计划!$G$2:$G$992,"&gt;"&amp;$A253,检修计划!$H$2:$H$992,1)</f>
        <v/>
      </c>
      <c r="E253" s="5">
        <f>COUNTIFS(检修计划!$E$2:$E$992,"4",检修计划!$F$2:$F$992,"&lt;"&amp;$A253+1,检修计划!$G$2:$G$992,"&gt;"&amp;$A253,检修计划!$H$2:$H$992,1)</f>
        <v/>
      </c>
      <c r="F253" s="5">
        <f>COUNTIFS(检修计划!$E$2:$E$992,"5",检修计划!$F$2:$F$992,"&lt;"&amp;$A253+1,检修计划!$G$2:$G$992,"&gt;"&amp;$A253,检修计划!$H$2:$H$992,1)</f>
        <v/>
      </c>
    </row>
    <row r="254" ht="23" customHeight="1">
      <c r="A254" s="9" t="n">
        <v>45179</v>
      </c>
      <c r="B254" s="5">
        <f>COUNTIFS(检修计划!$E$2:$E$992,"1",检修计划!$F$2:$F$992,"&lt;"&amp;$A254+1,检修计划!$G$2:$G$992,"&gt;"&amp;$A254,检修计划!$H$2:$H$992,1)</f>
        <v/>
      </c>
      <c r="C254" s="5">
        <f>COUNTIFS(检修计划!$E$2:$E$992,"2",检修计划!$F$2:$F$992,"&lt;"&amp;$A254+1,检修计划!$G$2:$G$992,"&gt;"&amp;$A254,检修计划!$H$2:$H$992,1)</f>
        <v/>
      </c>
      <c r="D254" s="5">
        <f>COUNTIFS(检修计划!$E$2:$E$992,"3",检修计划!$F$2:$F$992,"&lt;"&amp;$A254+1,检修计划!$G$2:$G$992,"&gt;"&amp;$A254,检修计划!$H$2:$H$992,1)</f>
        <v/>
      </c>
      <c r="E254" s="5">
        <f>COUNTIFS(检修计划!$E$2:$E$992,"4",检修计划!$F$2:$F$992,"&lt;"&amp;$A254+1,检修计划!$G$2:$G$992,"&gt;"&amp;$A254,检修计划!$H$2:$H$992,1)</f>
        <v/>
      </c>
      <c r="F254" s="5">
        <f>COUNTIFS(检修计划!$E$2:$E$992,"5",检修计划!$F$2:$F$992,"&lt;"&amp;$A254+1,检修计划!$G$2:$G$992,"&gt;"&amp;$A254,检修计划!$H$2:$H$992,1)</f>
        <v/>
      </c>
    </row>
    <row r="255" ht="23" customHeight="1">
      <c r="A255" s="9" t="n">
        <v>45180</v>
      </c>
      <c r="B255" s="5">
        <f>COUNTIFS(检修计划!$E$2:$E$992,"1",检修计划!$F$2:$F$992,"&lt;"&amp;$A255+1,检修计划!$G$2:$G$992,"&gt;"&amp;$A255,检修计划!$H$2:$H$992,1)</f>
        <v/>
      </c>
      <c r="C255" s="5">
        <f>COUNTIFS(检修计划!$E$2:$E$992,"2",检修计划!$F$2:$F$992,"&lt;"&amp;$A255+1,检修计划!$G$2:$G$992,"&gt;"&amp;$A255,检修计划!$H$2:$H$992,1)</f>
        <v/>
      </c>
      <c r="D255" s="5">
        <f>COUNTIFS(检修计划!$E$2:$E$992,"3",检修计划!$F$2:$F$992,"&lt;"&amp;$A255+1,检修计划!$G$2:$G$992,"&gt;"&amp;$A255,检修计划!$H$2:$H$992,1)</f>
        <v/>
      </c>
      <c r="E255" s="5">
        <f>COUNTIFS(检修计划!$E$2:$E$992,"4",检修计划!$F$2:$F$992,"&lt;"&amp;$A255+1,检修计划!$G$2:$G$992,"&gt;"&amp;$A255,检修计划!$H$2:$H$992,1)</f>
        <v/>
      </c>
      <c r="F255" s="5">
        <f>COUNTIFS(检修计划!$E$2:$E$992,"5",检修计划!$F$2:$F$992,"&lt;"&amp;$A255+1,检修计划!$G$2:$G$992,"&gt;"&amp;$A255,检修计划!$H$2:$H$992,1)</f>
        <v/>
      </c>
    </row>
    <row r="256" ht="23" customHeight="1">
      <c r="A256" s="9" t="n">
        <v>45181</v>
      </c>
      <c r="B256" s="5">
        <f>COUNTIFS(检修计划!$E$2:$E$992,"1",检修计划!$F$2:$F$992,"&lt;"&amp;$A256+1,检修计划!$G$2:$G$992,"&gt;"&amp;$A256,检修计划!$H$2:$H$992,1)</f>
        <v/>
      </c>
      <c r="C256" s="5">
        <f>COUNTIFS(检修计划!$E$2:$E$992,"2",检修计划!$F$2:$F$992,"&lt;"&amp;$A256+1,检修计划!$G$2:$G$992,"&gt;"&amp;$A256,检修计划!$H$2:$H$992,1)</f>
        <v/>
      </c>
      <c r="D256" s="5">
        <f>COUNTIFS(检修计划!$E$2:$E$992,"3",检修计划!$F$2:$F$992,"&lt;"&amp;$A256+1,检修计划!$G$2:$G$992,"&gt;"&amp;$A256,检修计划!$H$2:$H$992,1)</f>
        <v/>
      </c>
      <c r="E256" s="5">
        <f>COUNTIFS(检修计划!$E$2:$E$992,"4",检修计划!$F$2:$F$992,"&lt;"&amp;$A256+1,检修计划!$G$2:$G$992,"&gt;"&amp;$A256,检修计划!$H$2:$H$992,1)</f>
        <v/>
      </c>
      <c r="F256" s="5">
        <f>COUNTIFS(检修计划!$E$2:$E$992,"5",检修计划!$F$2:$F$992,"&lt;"&amp;$A256+1,检修计划!$G$2:$G$992,"&gt;"&amp;$A256,检修计划!$H$2:$H$992,1)</f>
        <v/>
      </c>
    </row>
    <row r="257" ht="23" customHeight="1">
      <c r="A257" s="9" t="n">
        <v>45182</v>
      </c>
      <c r="B257" s="5">
        <f>COUNTIFS(检修计划!$E$2:$E$992,"1",检修计划!$F$2:$F$992,"&lt;"&amp;$A257+1,检修计划!$G$2:$G$992,"&gt;"&amp;$A257,检修计划!$H$2:$H$992,1)</f>
        <v/>
      </c>
      <c r="C257" s="5">
        <f>COUNTIFS(检修计划!$E$2:$E$992,"2",检修计划!$F$2:$F$992,"&lt;"&amp;$A257+1,检修计划!$G$2:$G$992,"&gt;"&amp;$A257,检修计划!$H$2:$H$992,1)</f>
        <v/>
      </c>
      <c r="D257" s="5">
        <f>COUNTIFS(检修计划!$E$2:$E$992,"3",检修计划!$F$2:$F$992,"&lt;"&amp;$A257+1,检修计划!$G$2:$G$992,"&gt;"&amp;$A257,检修计划!$H$2:$H$992,1)</f>
        <v/>
      </c>
      <c r="E257" s="5">
        <f>COUNTIFS(检修计划!$E$2:$E$992,"4",检修计划!$F$2:$F$992,"&lt;"&amp;$A257+1,检修计划!$G$2:$G$992,"&gt;"&amp;$A257,检修计划!$H$2:$H$992,1)</f>
        <v/>
      </c>
      <c r="F257" s="5">
        <f>COUNTIFS(检修计划!$E$2:$E$992,"5",检修计划!$F$2:$F$992,"&lt;"&amp;$A257+1,检修计划!$G$2:$G$992,"&gt;"&amp;$A257,检修计划!$H$2:$H$992,1)</f>
        <v/>
      </c>
    </row>
    <row r="258" ht="23" customHeight="1">
      <c r="A258" s="9" t="n">
        <v>45183</v>
      </c>
      <c r="B258" s="5">
        <f>COUNTIFS(检修计划!$E$2:$E$992,"1",检修计划!$F$2:$F$992,"&lt;"&amp;$A258+1,检修计划!$G$2:$G$992,"&gt;"&amp;$A258,检修计划!$H$2:$H$992,1)</f>
        <v/>
      </c>
      <c r="C258" s="5">
        <f>COUNTIFS(检修计划!$E$2:$E$992,"2",检修计划!$F$2:$F$992,"&lt;"&amp;$A258+1,检修计划!$G$2:$G$992,"&gt;"&amp;$A258,检修计划!$H$2:$H$992,1)</f>
        <v/>
      </c>
      <c r="D258" s="5">
        <f>COUNTIFS(检修计划!$E$2:$E$992,"3",检修计划!$F$2:$F$992,"&lt;"&amp;$A258+1,检修计划!$G$2:$G$992,"&gt;"&amp;$A258,检修计划!$H$2:$H$992,1)</f>
        <v/>
      </c>
      <c r="E258" s="5">
        <f>COUNTIFS(检修计划!$E$2:$E$992,"4",检修计划!$F$2:$F$992,"&lt;"&amp;$A258+1,检修计划!$G$2:$G$992,"&gt;"&amp;$A258,检修计划!$H$2:$H$992,1)</f>
        <v/>
      </c>
      <c r="F258" s="5">
        <f>COUNTIFS(检修计划!$E$2:$E$992,"5",检修计划!$F$2:$F$992,"&lt;"&amp;$A258+1,检修计划!$G$2:$G$992,"&gt;"&amp;$A258,检修计划!$H$2:$H$992,1)</f>
        <v/>
      </c>
    </row>
    <row r="259" ht="23" customHeight="1">
      <c r="A259" s="9" t="n">
        <v>45184</v>
      </c>
      <c r="B259" s="5">
        <f>COUNTIFS(检修计划!$E$2:$E$992,"1",检修计划!$F$2:$F$992,"&lt;"&amp;$A259+1,检修计划!$G$2:$G$992,"&gt;"&amp;$A259,检修计划!$H$2:$H$992,1)</f>
        <v/>
      </c>
      <c r="C259" s="5">
        <f>COUNTIFS(检修计划!$E$2:$E$992,"2",检修计划!$F$2:$F$992,"&lt;"&amp;$A259+1,检修计划!$G$2:$G$992,"&gt;"&amp;$A259,检修计划!$H$2:$H$992,1)</f>
        <v/>
      </c>
      <c r="D259" s="5">
        <f>COUNTIFS(检修计划!$E$2:$E$992,"3",检修计划!$F$2:$F$992,"&lt;"&amp;$A259+1,检修计划!$G$2:$G$992,"&gt;"&amp;$A259,检修计划!$H$2:$H$992,1)</f>
        <v/>
      </c>
      <c r="E259" s="5">
        <f>COUNTIFS(检修计划!$E$2:$E$992,"4",检修计划!$F$2:$F$992,"&lt;"&amp;$A259+1,检修计划!$G$2:$G$992,"&gt;"&amp;$A259,检修计划!$H$2:$H$992,1)</f>
        <v/>
      </c>
      <c r="F259" s="5">
        <f>COUNTIFS(检修计划!$E$2:$E$992,"5",检修计划!$F$2:$F$992,"&lt;"&amp;$A259+1,检修计划!$G$2:$G$992,"&gt;"&amp;$A259,检修计划!$H$2:$H$992,1)</f>
        <v/>
      </c>
    </row>
    <row r="260" ht="23" customHeight="1">
      <c r="A260" s="9" t="n">
        <v>45185</v>
      </c>
      <c r="B260" s="5">
        <f>COUNTIFS(检修计划!$E$2:$E$992,"1",检修计划!$F$2:$F$992,"&lt;"&amp;$A260+1,检修计划!$G$2:$G$992,"&gt;"&amp;$A260,检修计划!$H$2:$H$992,1)</f>
        <v/>
      </c>
      <c r="C260" s="5">
        <f>COUNTIFS(检修计划!$E$2:$E$992,"2",检修计划!$F$2:$F$992,"&lt;"&amp;$A260+1,检修计划!$G$2:$G$992,"&gt;"&amp;$A260,检修计划!$H$2:$H$992,1)</f>
        <v/>
      </c>
      <c r="D260" s="5">
        <f>COUNTIFS(检修计划!$E$2:$E$992,"3",检修计划!$F$2:$F$992,"&lt;"&amp;$A260+1,检修计划!$G$2:$G$992,"&gt;"&amp;$A260,检修计划!$H$2:$H$992,1)</f>
        <v/>
      </c>
      <c r="E260" s="5">
        <f>COUNTIFS(检修计划!$E$2:$E$992,"4",检修计划!$F$2:$F$992,"&lt;"&amp;$A260+1,检修计划!$G$2:$G$992,"&gt;"&amp;$A260,检修计划!$H$2:$H$992,1)</f>
        <v/>
      </c>
      <c r="F260" s="5">
        <f>COUNTIFS(检修计划!$E$2:$E$992,"5",检修计划!$F$2:$F$992,"&lt;"&amp;$A260+1,检修计划!$G$2:$G$992,"&gt;"&amp;$A260,检修计划!$H$2:$H$992,1)</f>
        <v/>
      </c>
    </row>
    <row r="261" ht="23" customHeight="1">
      <c r="A261" s="9" t="n">
        <v>45186</v>
      </c>
      <c r="B261" s="5">
        <f>COUNTIFS(检修计划!$E$2:$E$992,"1",检修计划!$F$2:$F$992,"&lt;"&amp;$A261+1,检修计划!$G$2:$G$992,"&gt;"&amp;$A261,检修计划!$H$2:$H$992,1)</f>
        <v/>
      </c>
      <c r="C261" s="5">
        <f>COUNTIFS(检修计划!$E$2:$E$992,"2",检修计划!$F$2:$F$992,"&lt;"&amp;$A261+1,检修计划!$G$2:$G$992,"&gt;"&amp;$A261,检修计划!$H$2:$H$992,1)</f>
        <v/>
      </c>
      <c r="D261" s="5">
        <f>COUNTIFS(检修计划!$E$2:$E$992,"3",检修计划!$F$2:$F$992,"&lt;"&amp;$A261+1,检修计划!$G$2:$G$992,"&gt;"&amp;$A261,检修计划!$H$2:$H$992,1)</f>
        <v/>
      </c>
      <c r="E261" s="5">
        <f>COUNTIFS(检修计划!$E$2:$E$992,"4",检修计划!$F$2:$F$992,"&lt;"&amp;$A261+1,检修计划!$G$2:$G$992,"&gt;"&amp;$A261,检修计划!$H$2:$H$992,1)</f>
        <v/>
      </c>
      <c r="F261" s="5">
        <f>COUNTIFS(检修计划!$E$2:$E$992,"5",检修计划!$F$2:$F$992,"&lt;"&amp;$A261+1,检修计划!$G$2:$G$992,"&gt;"&amp;$A261,检修计划!$H$2:$H$992,1)</f>
        <v/>
      </c>
    </row>
    <row r="262" ht="23" customHeight="1">
      <c r="A262" s="9" t="n">
        <v>45187</v>
      </c>
      <c r="B262" s="5">
        <f>COUNTIFS(检修计划!$E$2:$E$992,"1",检修计划!$F$2:$F$992,"&lt;"&amp;$A262+1,检修计划!$G$2:$G$992,"&gt;"&amp;$A262,检修计划!$H$2:$H$992,1)</f>
        <v/>
      </c>
      <c r="C262" s="5">
        <f>COUNTIFS(检修计划!$E$2:$E$992,"2",检修计划!$F$2:$F$992,"&lt;"&amp;$A262+1,检修计划!$G$2:$G$992,"&gt;"&amp;$A262,检修计划!$H$2:$H$992,1)</f>
        <v/>
      </c>
      <c r="D262" s="5">
        <f>COUNTIFS(检修计划!$E$2:$E$992,"3",检修计划!$F$2:$F$992,"&lt;"&amp;$A262+1,检修计划!$G$2:$G$992,"&gt;"&amp;$A262,检修计划!$H$2:$H$992,1)</f>
        <v/>
      </c>
      <c r="E262" s="5">
        <f>COUNTIFS(检修计划!$E$2:$E$992,"4",检修计划!$F$2:$F$992,"&lt;"&amp;$A262+1,检修计划!$G$2:$G$992,"&gt;"&amp;$A262,检修计划!$H$2:$H$992,1)</f>
        <v/>
      </c>
      <c r="F262" s="5">
        <f>COUNTIFS(检修计划!$E$2:$E$992,"5",检修计划!$F$2:$F$992,"&lt;"&amp;$A262+1,检修计划!$G$2:$G$992,"&gt;"&amp;$A262,检修计划!$H$2:$H$992,1)</f>
        <v/>
      </c>
    </row>
    <row r="263" ht="23" customHeight="1">
      <c r="A263" s="9" t="n">
        <v>45188</v>
      </c>
      <c r="B263" s="5">
        <f>COUNTIFS(检修计划!$E$2:$E$992,"1",检修计划!$F$2:$F$992,"&lt;"&amp;$A263+1,检修计划!$G$2:$G$992,"&gt;"&amp;$A263,检修计划!$H$2:$H$992,1)</f>
        <v/>
      </c>
      <c r="C263" s="5">
        <f>COUNTIFS(检修计划!$E$2:$E$992,"2",检修计划!$F$2:$F$992,"&lt;"&amp;$A263+1,检修计划!$G$2:$G$992,"&gt;"&amp;$A263,检修计划!$H$2:$H$992,1)</f>
        <v/>
      </c>
      <c r="D263" s="5">
        <f>COUNTIFS(检修计划!$E$2:$E$992,"3",检修计划!$F$2:$F$992,"&lt;"&amp;$A263+1,检修计划!$G$2:$G$992,"&gt;"&amp;$A263,检修计划!$H$2:$H$992,1)</f>
        <v/>
      </c>
      <c r="E263" s="5">
        <f>COUNTIFS(检修计划!$E$2:$E$992,"4",检修计划!$F$2:$F$992,"&lt;"&amp;$A263+1,检修计划!$G$2:$G$992,"&gt;"&amp;$A263,检修计划!$H$2:$H$992,1)</f>
        <v/>
      </c>
      <c r="F263" s="5">
        <f>COUNTIFS(检修计划!$E$2:$E$992,"5",检修计划!$F$2:$F$992,"&lt;"&amp;$A263+1,检修计划!$G$2:$G$992,"&gt;"&amp;$A263,检修计划!$H$2:$H$992,1)</f>
        <v/>
      </c>
    </row>
    <row r="264" ht="23" customHeight="1">
      <c r="A264" s="9" t="n">
        <v>45189</v>
      </c>
      <c r="B264" s="5">
        <f>COUNTIFS(检修计划!$E$2:$E$992,"1",检修计划!$F$2:$F$992,"&lt;"&amp;$A264+1,检修计划!$G$2:$G$992,"&gt;"&amp;$A264,检修计划!$H$2:$H$992,1)</f>
        <v/>
      </c>
      <c r="C264" s="5">
        <f>COUNTIFS(检修计划!$E$2:$E$992,"2",检修计划!$F$2:$F$992,"&lt;"&amp;$A264+1,检修计划!$G$2:$G$992,"&gt;"&amp;$A264,检修计划!$H$2:$H$992,1)</f>
        <v/>
      </c>
      <c r="D264" s="5">
        <f>COUNTIFS(检修计划!$E$2:$E$992,"3",检修计划!$F$2:$F$992,"&lt;"&amp;$A264+1,检修计划!$G$2:$G$992,"&gt;"&amp;$A264,检修计划!$H$2:$H$992,1)</f>
        <v/>
      </c>
      <c r="E264" s="5">
        <f>COUNTIFS(检修计划!$E$2:$E$992,"4",检修计划!$F$2:$F$992,"&lt;"&amp;$A264+1,检修计划!$G$2:$G$992,"&gt;"&amp;$A264,检修计划!$H$2:$H$992,1)</f>
        <v/>
      </c>
      <c r="F264" s="5">
        <f>COUNTIFS(检修计划!$E$2:$E$992,"5",检修计划!$F$2:$F$992,"&lt;"&amp;$A264+1,检修计划!$G$2:$G$992,"&gt;"&amp;$A264,检修计划!$H$2:$H$992,1)</f>
        <v/>
      </c>
    </row>
    <row r="265" ht="23" customHeight="1">
      <c r="A265" s="9" t="n">
        <v>45190</v>
      </c>
      <c r="B265" s="5">
        <f>COUNTIFS(检修计划!$E$2:$E$992,"1",检修计划!$F$2:$F$992,"&lt;"&amp;$A265+1,检修计划!$G$2:$G$992,"&gt;"&amp;$A265,检修计划!$H$2:$H$992,1)</f>
        <v/>
      </c>
      <c r="C265" s="5">
        <f>COUNTIFS(检修计划!$E$2:$E$992,"2",检修计划!$F$2:$F$992,"&lt;"&amp;$A265+1,检修计划!$G$2:$G$992,"&gt;"&amp;$A265,检修计划!$H$2:$H$992,1)</f>
        <v/>
      </c>
      <c r="D265" s="5">
        <f>COUNTIFS(检修计划!$E$2:$E$992,"3",检修计划!$F$2:$F$992,"&lt;"&amp;$A265+1,检修计划!$G$2:$G$992,"&gt;"&amp;$A265,检修计划!$H$2:$H$992,1)</f>
        <v/>
      </c>
      <c r="E265" s="5">
        <f>COUNTIFS(检修计划!$E$2:$E$992,"4",检修计划!$F$2:$F$992,"&lt;"&amp;$A265+1,检修计划!$G$2:$G$992,"&gt;"&amp;$A265,检修计划!$H$2:$H$992,1)</f>
        <v/>
      </c>
      <c r="F265" s="5">
        <f>COUNTIFS(检修计划!$E$2:$E$992,"5",检修计划!$F$2:$F$992,"&lt;"&amp;$A265+1,检修计划!$G$2:$G$992,"&gt;"&amp;$A265,检修计划!$H$2:$H$992,1)</f>
        <v/>
      </c>
    </row>
    <row r="266" ht="23" customHeight="1">
      <c r="A266" s="9" t="n">
        <v>45191</v>
      </c>
      <c r="B266" s="5">
        <f>COUNTIFS(检修计划!$E$2:$E$992,"1",检修计划!$F$2:$F$992,"&lt;"&amp;$A266+1,检修计划!$G$2:$G$992,"&gt;"&amp;$A266,检修计划!$H$2:$H$992,1)</f>
        <v/>
      </c>
      <c r="C266" s="5">
        <f>COUNTIFS(检修计划!$E$2:$E$992,"2",检修计划!$F$2:$F$992,"&lt;"&amp;$A266+1,检修计划!$G$2:$G$992,"&gt;"&amp;$A266,检修计划!$H$2:$H$992,1)</f>
        <v/>
      </c>
      <c r="D266" s="5">
        <f>COUNTIFS(检修计划!$E$2:$E$992,"3",检修计划!$F$2:$F$992,"&lt;"&amp;$A266+1,检修计划!$G$2:$G$992,"&gt;"&amp;$A266,检修计划!$H$2:$H$992,1)</f>
        <v/>
      </c>
      <c r="E266" s="5">
        <f>COUNTIFS(检修计划!$E$2:$E$992,"4",检修计划!$F$2:$F$992,"&lt;"&amp;$A266+1,检修计划!$G$2:$G$992,"&gt;"&amp;$A266,检修计划!$H$2:$H$992,1)</f>
        <v/>
      </c>
      <c r="F266" s="5">
        <f>COUNTIFS(检修计划!$E$2:$E$992,"5",检修计划!$F$2:$F$992,"&lt;"&amp;$A266+1,检修计划!$G$2:$G$992,"&gt;"&amp;$A266,检修计划!$H$2:$H$992,1)</f>
        <v/>
      </c>
    </row>
    <row r="267" ht="23" customHeight="1">
      <c r="A267" s="9" t="n">
        <v>45192</v>
      </c>
      <c r="B267" s="5">
        <f>COUNTIFS(检修计划!$E$2:$E$992,"1",检修计划!$F$2:$F$992,"&lt;"&amp;$A267+1,检修计划!$G$2:$G$992,"&gt;"&amp;$A267,检修计划!$H$2:$H$992,1)</f>
        <v/>
      </c>
      <c r="C267" s="5">
        <f>COUNTIFS(检修计划!$E$2:$E$992,"2",检修计划!$F$2:$F$992,"&lt;"&amp;$A267+1,检修计划!$G$2:$G$992,"&gt;"&amp;$A267,检修计划!$H$2:$H$992,1)</f>
        <v/>
      </c>
      <c r="D267" s="5">
        <f>COUNTIFS(检修计划!$E$2:$E$992,"3",检修计划!$F$2:$F$992,"&lt;"&amp;$A267+1,检修计划!$G$2:$G$992,"&gt;"&amp;$A267,检修计划!$H$2:$H$992,1)</f>
        <v/>
      </c>
      <c r="E267" s="5">
        <f>COUNTIFS(检修计划!$E$2:$E$992,"4",检修计划!$F$2:$F$992,"&lt;"&amp;$A267+1,检修计划!$G$2:$G$992,"&gt;"&amp;$A267,检修计划!$H$2:$H$992,1)</f>
        <v/>
      </c>
      <c r="F267" s="5">
        <f>COUNTIFS(检修计划!$E$2:$E$992,"5",检修计划!$F$2:$F$992,"&lt;"&amp;$A267+1,检修计划!$G$2:$G$992,"&gt;"&amp;$A267,检修计划!$H$2:$H$992,1)</f>
        <v/>
      </c>
    </row>
    <row r="268" ht="23" customHeight="1">
      <c r="A268" s="9" t="n">
        <v>45193</v>
      </c>
      <c r="B268" s="5">
        <f>COUNTIFS(检修计划!$E$2:$E$992,"1",检修计划!$F$2:$F$992,"&lt;"&amp;$A268+1,检修计划!$G$2:$G$992,"&gt;"&amp;$A268,检修计划!$H$2:$H$992,1)</f>
        <v/>
      </c>
      <c r="C268" s="5">
        <f>COUNTIFS(检修计划!$E$2:$E$992,"2",检修计划!$F$2:$F$992,"&lt;"&amp;$A268+1,检修计划!$G$2:$G$992,"&gt;"&amp;$A268,检修计划!$H$2:$H$992,1)</f>
        <v/>
      </c>
      <c r="D268" s="5">
        <f>COUNTIFS(检修计划!$E$2:$E$992,"3",检修计划!$F$2:$F$992,"&lt;"&amp;$A268+1,检修计划!$G$2:$G$992,"&gt;"&amp;$A268,检修计划!$H$2:$H$992,1)</f>
        <v/>
      </c>
      <c r="E268" s="5">
        <f>COUNTIFS(检修计划!$E$2:$E$992,"4",检修计划!$F$2:$F$992,"&lt;"&amp;$A268+1,检修计划!$G$2:$G$992,"&gt;"&amp;$A268,检修计划!$H$2:$H$992,1)</f>
        <v/>
      </c>
      <c r="F268" s="5">
        <f>COUNTIFS(检修计划!$E$2:$E$992,"5",检修计划!$F$2:$F$992,"&lt;"&amp;$A268+1,检修计划!$G$2:$G$992,"&gt;"&amp;$A268,检修计划!$H$2:$H$992,1)</f>
        <v/>
      </c>
    </row>
    <row r="269" ht="23" customHeight="1">
      <c r="A269" s="9" t="n">
        <v>45194</v>
      </c>
      <c r="B269" s="5">
        <f>COUNTIFS(检修计划!$E$2:$E$992,"1",检修计划!$F$2:$F$992,"&lt;"&amp;$A269+1,检修计划!$G$2:$G$992,"&gt;"&amp;$A269,检修计划!$H$2:$H$992,1)</f>
        <v/>
      </c>
      <c r="C269" s="5">
        <f>COUNTIFS(检修计划!$E$2:$E$992,"2",检修计划!$F$2:$F$992,"&lt;"&amp;$A269+1,检修计划!$G$2:$G$992,"&gt;"&amp;$A269,检修计划!$H$2:$H$992,1)</f>
        <v/>
      </c>
      <c r="D269" s="5">
        <f>COUNTIFS(检修计划!$E$2:$E$992,"3",检修计划!$F$2:$F$992,"&lt;"&amp;$A269+1,检修计划!$G$2:$G$992,"&gt;"&amp;$A269,检修计划!$H$2:$H$992,1)</f>
        <v/>
      </c>
      <c r="E269" s="5">
        <f>COUNTIFS(检修计划!$E$2:$E$992,"4",检修计划!$F$2:$F$992,"&lt;"&amp;$A269+1,检修计划!$G$2:$G$992,"&gt;"&amp;$A269,检修计划!$H$2:$H$992,1)</f>
        <v/>
      </c>
      <c r="F269" s="5">
        <f>COUNTIFS(检修计划!$E$2:$E$992,"5",检修计划!$F$2:$F$992,"&lt;"&amp;$A269+1,检修计划!$G$2:$G$992,"&gt;"&amp;$A269,检修计划!$H$2:$H$992,1)</f>
        <v/>
      </c>
    </row>
    <row r="270" ht="23" customHeight="1">
      <c r="A270" s="9" t="n">
        <v>45195</v>
      </c>
      <c r="B270" s="5">
        <f>COUNTIFS(检修计划!$E$2:$E$992,"1",检修计划!$F$2:$F$992,"&lt;"&amp;$A270+1,检修计划!$G$2:$G$992,"&gt;"&amp;$A270,检修计划!$H$2:$H$992,1)</f>
        <v/>
      </c>
      <c r="C270" s="5">
        <f>COUNTIFS(检修计划!$E$2:$E$992,"2",检修计划!$F$2:$F$992,"&lt;"&amp;$A270+1,检修计划!$G$2:$G$992,"&gt;"&amp;$A270,检修计划!$H$2:$H$992,1)</f>
        <v/>
      </c>
      <c r="D270" s="5">
        <f>COUNTIFS(检修计划!$E$2:$E$992,"3",检修计划!$F$2:$F$992,"&lt;"&amp;$A270+1,检修计划!$G$2:$G$992,"&gt;"&amp;$A270,检修计划!$H$2:$H$992,1)</f>
        <v/>
      </c>
      <c r="E270" s="5">
        <f>COUNTIFS(检修计划!$E$2:$E$992,"4",检修计划!$F$2:$F$992,"&lt;"&amp;$A270+1,检修计划!$G$2:$G$992,"&gt;"&amp;$A270,检修计划!$H$2:$H$992,1)</f>
        <v/>
      </c>
      <c r="F270" s="5">
        <f>COUNTIFS(检修计划!$E$2:$E$992,"5",检修计划!$F$2:$F$992,"&lt;"&amp;$A270+1,检修计划!$G$2:$G$992,"&gt;"&amp;$A270,检修计划!$H$2:$H$992,1)</f>
        <v/>
      </c>
    </row>
    <row r="271" ht="23" customHeight="1">
      <c r="A271" s="9" t="n">
        <v>45196</v>
      </c>
      <c r="B271" s="5">
        <f>COUNTIFS(检修计划!$E$2:$E$992,"1",检修计划!$F$2:$F$992,"&lt;"&amp;$A271+1,检修计划!$G$2:$G$992,"&gt;"&amp;$A271,检修计划!$H$2:$H$992,1)</f>
        <v/>
      </c>
      <c r="C271" s="5">
        <f>COUNTIFS(检修计划!$E$2:$E$992,"2",检修计划!$F$2:$F$992,"&lt;"&amp;$A271+1,检修计划!$G$2:$G$992,"&gt;"&amp;$A271,检修计划!$H$2:$H$992,1)</f>
        <v/>
      </c>
      <c r="D271" s="5">
        <f>COUNTIFS(检修计划!$E$2:$E$992,"3",检修计划!$F$2:$F$992,"&lt;"&amp;$A271+1,检修计划!$G$2:$G$992,"&gt;"&amp;$A271,检修计划!$H$2:$H$992,1)</f>
        <v/>
      </c>
      <c r="E271" s="5">
        <f>COUNTIFS(检修计划!$E$2:$E$992,"4",检修计划!$F$2:$F$992,"&lt;"&amp;$A271+1,检修计划!$G$2:$G$992,"&gt;"&amp;$A271,检修计划!$H$2:$H$992,1)</f>
        <v/>
      </c>
      <c r="F271" s="5">
        <f>COUNTIFS(检修计划!$E$2:$E$992,"5",检修计划!$F$2:$F$992,"&lt;"&amp;$A271+1,检修计划!$G$2:$G$992,"&gt;"&amp;$A271,检修计划!$H$2:$H$992,1)</f>
        <v/>
      </c>
    </row>
    <row r="272" ht="23" customHeight="1">
      <c r="A272" s="9" t="n">
        <v>45197</v>
      </c>
      <c r="B272" s="5">
        <f>COUNTIFS(检修计划!$E$2:$E$992,"1",检修计划!$F$2:$F$992,"&lt;"&amp;$A272+1,检修计划!$G$2:$G$992,"&gt;"&amp;$A272,检修计划!$H$2:$H$992,1)</f>
        <v/>
      </c>
      <c r="C272" s="5">
        <f>COUNTIFS(检修计划!$E$2:$E$992,"2",检修计划!$F$2:$F$992,"&lt;"&amp;$A272+1,检修计划!$G$2:$G$992,"&gt;"&amp;$A272,检修计划!$H$2:$H$992,1)</f>
        <v/>
      </c>
      <c r="D272" s="5">
        <f>COUNTIFS(检修计划!$E$2:$E$992,"3",检修计划!$F$2:$F$992,"&lt;"&amp;$A272+1,检修计划!$G$2:$G$992,"&gt;"&amp;$A272,检修计划!$H$2:$H$992,1)</f>
        <v/>
      </c>
      <c r="E272" s="5">
        <f>COUNTIFS(检修计划!$E$2:$E$992,"4",检修计划!$F$2:$F$992,"&lt;"&amp;$A272+1,检修计划!$G$2:$G$992,"&gt;"&amp;$A272,检修计划!$H$2:$H$992,1)</f>
        <v/>
      </c>
      <c r="F272" s="5">
        <f>COUNTIFS(检修计划!$E$2:$E$992,"5",检修计划!$F$2:$F$992,"&lt;"&amp;$A272+1,检修计划!$G$2:$G$992,"&gt;"&amp;$A272,检修计划!$H$2:$H$992,1)</f>
        <v/>
      </c>
    </row>
    <row r="273" ht="23" customHeight="1">
      <c r="A273" s="9" t="n">
        <v>45198</v>
      </c>
      <c r="B273" s="5">
        <f>COUNTIFS(检修计划!$E$2:$E$992,"1",检修计划!$F$2:$F$992,"&lt;"&amp;$A273+1,检修计划!$G$2:$G$992,"&gt;"&amp;$A273,检修计划!$H$2:$H$992,1)</f>
        <v/>
      </c>
      <c r="C273" s="5">
        <f>COUNTIFS(检修计划!$E$2:$E$992,"2",检修计划!$F$2:$F$992,"&lt;"&amp;$A273+1,检修计划!$G$2:$G$992,"&gt;"&amp;$A273,检修计划!$H$2:$H$992,1)</f>
        <v/>
      </c>
      <c r="D273" s="5">
        <f>COUNTIFS(检修计划!$E$2:$E$992,"3",检修计划!$F$2:$F$992,"&lt;"&amp;$A273+1,检修计划!$G$2:$G$992,"&gt;"&amp;$A273,检修计划!$H$2:$H$992,1)</f>
        <v/>
      </c>
      <c r="E273" s="5">
        <f>COUNTIFS(检修计划!$E$2:$E$992,"4",检修计划!$F$2:$F$992,"&lt;"&amp;$A273+1,检修计划!$G$2:$G$992,"&gt;"&amp;$A273,检修计划!$H$2:$H$992,1)</f>
        <v/>
      </c>
      <c r="F273" s="5">
        <f>COUNTIFS(检修计划!$E$2:$E$992,"5",检修计划!$F$2:$F$992,"&lt;"&amp;$A273+1,检修计划!$G$2:$G$992,"&gt;"&amp;$A273,检修计划!$H$2:$H$992,1)</f>
        <v/>
      </c>
    </row>
    <row r="274" ht="23" customHeight="1">
      <c r="A274" s="9" t="n">
        <v>45199</v>
      </c>
      <c r="B274" s="5">
        <f>COUNTIFS(检修计划!$E$2:$E$992,"1",检修计划!$F$2:$F$992,"&lt;"&amp;$A274+1,检修计划!$G$2:$G$992,"&gt;"&amp;$A274,检修计划!$H$2:$H$992,1)</f>
        <v/>
      </c>
      <c r="C274" s="5">
        <f>COUNTIFS(检修计划!$E$2:$E$992,"2",检修计划!$F$2:$F$992,"&lt;"&amp;$A274+1,检修计划!$G$2:$G$992,"&gt;"&amp;$A274,检修计划!$H$2:$H$992,1)</f>
        <v/>
      </c>
      <c r="D274" s="5">
        <f>COUNTIFS(检修计划!$E$2:$E$992,"3",检修计划!$F$2:$F$992,"&lt;"&amp;$A274+1,检修计划!$G$2:$G$992,"&gt;"&amp;$A274,检修计划!$H$2:$H$992,1)</f>
        <v/>
      </c>
      <c r="E274" s="5">
        <f>COUNTIFS(检修计划!$E$2:$E$992,"4",检修计划!$F$2:$F$992,"&lt;"&amp;$A274+1,检修计划!$G$2:$G$992,"&gt;"&amp;$A274,检修计划!$H$2:$H$992,1)</f>
        <v/>
      </c>
      <c r="F274" s="5">
        <f>COUNTIFS(检修计划!$E$2:$E$992,"5",检修计划!$F$2:$F$992,"&lt;"&amp;$A274+1,检修计划!$G$2:$G$992,"&gt;"&amp;$A274,检修计划!$H$2:$H$992,1)</f>
        <v/>
      </c>
    </row>
    <row r="275" ht="23" customHeight="1">
      <c r="A275" s="9" t="n">
        <v>45200</v>
      </c>
      <c r="B275" s="5">
        <f>COUNTIFS(检修计划!$E$2:$E$992,"1",检修计划!$F$2:$F$992,"&lt;"&amp;$A275+1,检修计划!$G$2:$G$992,"&gt;"&amp;$A275,检修计划!$H$2:$H$992,1)</f>
        <v/>
      </c>
      <c r="C275" s="5">
        <f>COUNTIFS(检修计划!$E$2:$E$992,"2",检修计划!$F$2:$F$992,"&lt;"&amp;$A275+1,检修计划!$G$2:$G$992,"&gt;"&amp;$A275,检修计划!$H$2:$H$992,1)</f>
        <v/>
      </c>
      <c r="D275" s="5">
        <f>COUNTIFS(检修计划!$E$2:$E$992,"3",检修计划!$F$2:$F$992,"&lt;"&amp;$A275+1,检修计划!$G$2:$G$992,"&gt;"&amp;$A275,检修计划!$H$2:$H$992,1)</f>
        <v/>
      </c>
      <c r="E275" s="5">
        <f>COUNTIFS(检修计划!$E$2:$E$992,"4",检修计划!$F$2:$F$992,"&lt;"&amp;$A275+1,检修计划!$G$2:$G$992,"&gt;"&amp;$A275,检修计划!$H$2:$H$992,1)</f>
        <v/>
      </c>
      <c r="F275" s="5">
        <f>COUNTIFS(检修计划!$E$2:$E$992,"5",检修计划!$F$2:$F$992,"&lt;"&amp;$A275+1,检修计划!$G$2:$G$992,"&gt;"&amp;$A275,检修计划!$H$2:$H$992,1)</f>
        <v/>
      </c>
    </row>
    <row r="276" ht="23" customHeight="1">
      <c r="A276" s="9" t="n">
        <v>45201</v>
      </c>
      <c r="B276" s="5">
        <f>COUNTIFS(检修计划!$E$2:$E$992,"1",检修计划!$F$2:$F$992,"&lt;"&amp;$A276+1,检修计划!$G$2:$G$992,"&gt;"&amp;$A276,检修计划!$H$2:$H$992,1)</f>
        <v/>
      </c>
      <c r="C276" s="5">
        <f>COUNTIFS(检修计划!$E$2:$E$992,"2",检修计划!$F$2:$F$992,"&lt;"&amp;$A276+1,检修计划!$G$2:$G$992,"&gt;"&amp;$A276,检修计划!$H$2:$H$992,1)</f>
        <v/>
      </c>
      <c r="D276" s="5">
        <f>COUNTIFS(检修计划!$E$2:$E$992,"3",检修计划!$F$2:$F$992,"&lt;"&amp;$A276+1,检修计划!$G$2:$G$992,"&gt;"&amp;$A276,检修计划!$H$2:$H$992,1)</f>
        <v/>
      </c>
      <c r="E276" s="5">
        <f>COUNTIFS(检修计划!$E$2:$E$992,"4",检修计划!$F$2:$F$992,"&lt;"&amp;$A276+1,检修计划!$G$2:$G$992,"&gt;"&amp;$A276,检修计划!$H$2:$H$992,1)</f>
        <v/>
      </c>
      <c r="F276" s="5">
        <f>COUNTIFS(检修计划!$E$2:$E$992,"5",检修计划!$F$2:$F$992,"&lt;"&amp;$A276+1,检修计划!$G$2:$G$992,"&gt;"&amp;$A276,检修计划!$H$2:$H$992,1)</f>
        <v/>
      </c>
    </row>
    <row r="277" ht="23" customHeight="1">
      <c r="A277" s="9" t="n">
        <v>45202</v>
      </c>
      <c r="B277" s="5">
        <f>COUNTIFS(检修计划!$E$2:$E$992,"1",检修计划!$F$2:$F$992,"&lt;"&amp;$A277+1,检修计划!$G$2:$G$992,"&gt;"&amp;$A277,检修计划!$H$2:$H$992,1)</f>
        <v/>
      </c>
      <c r="C277" s="5">
        <f>COUNTIFS(检修计划!$E$2:$E$992,"2",检修计划!$F$2:$F$992,"&lt;"&amp;$A277+1,检修计划!$G$2:$G$992,"&gt;"&amp;$A277,检修计划!$H$2:$H$992,1)</f>
        <v/>
      </c>
      <c r="D277" s="5">
        <f>COUNTIFS(检修计划!$E$2:$E$992,"3",检修计划!$F$2:$F$992,"&lt;"&amp;$A277+1,检修计划!$G$2:$G$992,"&gt;"&amp;$A277,检修计划!$H$2:$H$992,1)</f>
        <v/>
      </c>
      <c r="E277" s="5">
        <f>COUNTIFS(检修计划!$E$2:$E$992,"4",检修计划!$F$2:$F$992,"&lt;"&amp;$A277+1,检修计划!$G$2:$G$992,"&gt;"&amp;$A277,检修计划!$H$2:$H$992,1)</f>
        <v/>
      </c>
      <c r="F277" s="5">
        <f>COUNTIFS(检修计划!$E$2:$E$992,"5",检修计划!$F$2:$F$992,"&lt;"&amp;$A277+1,检修计划!$G$2:$G$992,"&gt;"&amp;$A277,检修计划!$H$2:$H$992,1)</f>
        <v/>
      </c>
    </row>
    <row r="278" ht="23" customHeight="1">
      <c r="A278" s="9" t="n">
        <v>45203</v>
      </c>
      <c r="B278" s="5">
        <f>COUNTIFS(检修计划!$E$2:$E$992,"1",检修计划!$F$2:$F$992,"&lt;"&amp;$A278+1,检修计划!$G$2:$G$992,"&gt;"&amp;$A278,检修计划!$H$2:$H$992,1)</f>
        <v/>
      </c>
      <c r="C278" s="5">
        <f>COUNTIFS(检修计划!$E$2:$E$992,"2",检修计划!$F$2:$F$992,"&lt;"&amp;$A278+1,检修计划!$G$2:$G$992,"&gt;"&amp;$A278,检修计划!$H$2:$H$992,1)</f>
        <v/>
      </c>
      <c r="D278" s="5">
        <f>COUNTIFS(检修计划!$E$2:$E$992,"3",检修计划!$F$2:$F$992,"&lt;"&amp;$A278+1,检修计划!$G$2:$G$992,"&gt;"&amp;$A278,检修计划!$H$2:$H$992,1)</f>
        <v/>
      </c>
      <c r="E278" s="5">
        <f>COUNTIFS(检修计划!$E$2:$E$992,"4",检修计划!$F$2:$F$992,"&lt;"&amp;$A278+1,检修计划!$G$2:$G$992,"&gt;"&amp;$A278,检修计划!$H$2:$H$992,1)</f>
        <v/>
      </c>
      <c r="F278" s="5">
        <f>COUNTIFS(检修计划!$E$2:$E$992,"5",检修计划!$F$2:$F$992,"&lt;"&amp;$A278+1,检修计划!$G$2:$G$992,"&gt;"&amp;$A278,检修计划!$H$2:$H$992,1)</f>
        <v/>
      </c>
    </row>
    <row r="279" ht="23" customHeight="1">
      <c r="A279" s="9" t="n">
        <v>45204</v>
      </c>
      <c r="B279" s="5">
        <f>COUNTIFS(检修计划!$E$2:$E$992,"1",检修计划!$F$2:$F$992,"&lt;"&amp;$A279+1,检修计划!$G$2:$G$992,"&gt;"&amp;$A279,检修计划!$H$2:$H$992,1)</f>
        <v/>
      </c>
      <c r="C279" s="5">
        <f>COUNTIFS(检修计划!$E$2:$E$992,"2",检修计划!$F$2:$F$992,"&lt;"&amp;$A279+1,检修计划!$G$2:$G$992,"&gt;"&amp;$A279,检修计划!$H$2:$H$992,1)</f>
        <v/>
      </c>
      <c r="D279" s="5">
        <f>COUNTIFS(检修计划!$E$2:$E$992,"3",检修计划!$F$2:$F$992,"&lt;"&amp;$A279+1,检修计划!$G$2:$G$992,"&gt;"&amp;$A279,检修计划!$H$2:$H$992,1)</f>
        <v/>
      </c>
      <c r="E279" s="5">
        <f>COUNTIFS(检修计划!$E$2:$E$992,"4",检修计划!$F$2:$F$992,"&lt;"&amp;$A279+1,检修计划!$G$2:$G$992,"&gt;"&amp;$A279,检修计划!$H$2:$H$992,1)</f>
        <v/>
      </c>
      <c r="F279" s="5">
        <f>COUNTIFS(检修计划!$E$2:$E$992,"5",检修计划!$F$2:$F$992,"&lt;"&amp;$A279+1,检修计划!$G$2:$G$992,"&gt;"&amp;$A279,检修计划!$H$2:$H$992,1)</f>
        <v/>
      </c>
    </row>
    <row r="280" ht="23" customHeight="1">
      <c r="A280" s="9" t="n">
        <v>45205</v>
      </c>
      <c r="B280" s="5">
        <f>COUNTIFS(检修计划!$E$2:$E$992,"1",检修计划!$F$2:$F$992,"&lt;"&amp;$A280+1,检修计划!$G$2:$G$992,"&gt;"&amp;$A280,检修计划!$H$2:$H$992,1)</f>
        <v/>
      </c>
      <c r="C280" s="5">
        <f>COUNTIFS(检修计划!$E$2:$E$992,"2",检修计划!$F$2:$F$992,"&lt;"&amp;$A280+1,检修计划!$G$2:$G$992,"&gt;"&amp;$A280,检修计划!$H$2:$H$992,1)</f>
        <v/>
      </c>
      <c r="D280" s="5">
        <f>COUNTIFS(检修计划!$E$2:$E$992,"3",检修计划!$F$2:$F$992,"&lt;"&amp;$A280+1,检修计划!$G$2:$G$992,"&gt;"&amp;$A280,检修计划!$H$2:$H$992,1)</f>
        <v/>
      </c>
      <c r="E280" s="5">
        <f>COUNTIFS(检修计划!$E$2:$E$992,"4",检修计划!$F$2:$F$992,"&lt;"&amp;$A280+1,检修计划!$G$2:$G$992,"&gt;"&amp;$A280,检修计划!$H$2:$H$992,1)</f>
        <v/>
      </c>
      <c r="F280" s="5">
        <f>COUNTIFS(检修计划!$E$2:$E$992,"5",检修计划!$F$2:$F$992,"&lt;"&amp;$A280+1,检修计划!$G$2:$G$992,"&gt;"&amp;$A280,检修计划!$H$2:$H$992,1)</f>
        <v/>
      </c>
    </row>
    <row r="281" ht="23" customHeight="1">
      <c r="A281" s="9" t="n">
        <v>45206</v>
      </c>
      <c r="B281" s="5">
        <f>COUNTIFS(检修计划!$E$2:$E$992,"1",检修计划!$F$2:$F$992,"&lt;"&amp;$A281+1,检修计划!$G$2:$G$992,"&gt;"&amp;$A281,检修计划!$H$2:$H$992,1)</f>
        <v/>
      </c>
      <c r="C281" s="5">
        <f>COUNTIFS(检修计划!$E$2:$E$992,"2",检修计划!$F$2:$F$992,"&lt;"&amp;$A281+1,检修计划!$G$2:$G$992,"&gt;"&amp;$A281,检修计划!$H$2:$H$992,1)</f>
        <v/>
      </c>
      <c r="D281" s="5">
        <f>COUNTIFS(检修计划!$E$2:$E$992,"3",检修计划!$F$2:$F$992,"&lt;"&amp;$A281+1,检修计划!$G$2:$G$992,"&gt;"&amp;$A281,检修计划!$H$2:$H$992,1)</f>
        <v/>
      </c>
      <c r="E281" s="5">
        <f>COUNTIFS(检修计划!$E$2:$E$992,"4",检修计划!$F$2:$F$992,"&lt;"&amp;$A281+1,检修计划!$G$2:$G$992,"&gt;"&amp;$A281,检修计划!$H$2:$H$992,1)</f>
        <v/>
      </c>
      <c r="F281" s="5">
        <f>COUNTIFS(检修计划!$E$2:$E$992,"5",检修计划!$F$2:$F$992,"&lt;"&amp;$A281+1,检修计划!$G$2:$G$992,"&gt;"&amp;$A281,检修计划!$H$2:$H$992,1)</f>
        <v/>
      </c>
    </row>
    <row r="282" ht="23" customHeight="1">
      <c r="A282" s="9" t="n">
        <v>45207</v>
      </c>
      <c r="B282" s="5">
        <f>COUNTIFS(检修计划!$E$2:$E$992,"1",检修计划!$F$2:$F$992,"&lt;"&amp;$A282+1,检修计划!$G$2:$G$992,"&gt;"&amp;$A282,检修计划!$H$2:$H$992,1)</f>
        <v/>
      </c>
      <c r="C282" s="5">
        <f>COUNTIFS(检修计划!$E$2:$E$992,"2",检修计划!$F$2:$F$992,"&lt;"&amp;$A282+1,检修计划!$G$2:$G$992,"&gt;"&amp;$A282,检修计划!$H$2:$H$992,1)</f>
        <v/>
      </c>
      <c r="D282" s="5">
        <f>COUNTIFS(检修计划!$E$2:$E$992,"3",检修计划!$F$2:$F$992,"&lt;"&amp;$A282+1,检修计划!$G$2:$G$992,"&gt;"&amp;$A282,检修计划!$H$2:$H$992,1)</f>
        <v/>
      </c>
      <c r="E282" s="5">
        <f>COUNTIFS(检修计划!$E$2:$E$992,"4",检修计划!$F$2:$F$992,"&lt;"&amp;$A282+1,检修计划!$G$2:$G$992,"&gt;"&amp;$A282,检修计划!$H$2:$H$992,1)</f>
        <v/>
      </c>
      <c r="F282" s="5">
        <f>COUNTIFS(检修计划!$E$2:$E$992,"5",检修计划!$F$2:$F$992,"&lt;"&amp;$A282+1,检修计划!$G$2:$G$992,"&gt;"&amp;$A282,检修计划!$H$2:$H$992,1)</f>
        <v/>
      </c>
    </row>
    <row r="283" ht="23" customHeight="1">
      <c r="A283" s="9" t="n">
        <v>45208</v>
      </c>
      <c r="B283" s="5">
        <f>COUNTIFS(检修计划!$E$2:$E$992,"1",检修计划!$F$2:$F$992,"&lt;"&amp;$A283+1,检修计划!$G$2:$G$992,"&gt;"&amp;$A283,检修计划!$H$2:$H$992,1)</f>
        <v/>
      </c>
      <c r="C283" s="5">
        <f>COUNTIFS(检修计划!$E$2:$E$992,"2",检修计划!$F$2:$F$992,"&lt;"&amp;$A283+1,检修计划!$G$2:$G$992,"&gt;"&amp;$A283,检修计划!$H$2:$H$992,1)</f>
        <v/>
      </c>
      <c r="D283" s="5">
        <f>COUNTIFS(检修计划!$E$2:$E$992,"3",检修计划!$F$2:$F$992,"&lt;"&amp;$A283+1,检修计划!$G$2:$G$992,"&gt;"&amp;$A283,检修计划!$H$2:$H$992,1)</f>
        <v/>
      </c>
      <c r="E283" s="5">
        <f>COUNTIFS(检修计划!$E$2:$E$992,"4",检修计划!$F$2:$F$992,"&lt;"&amp;$A283+1,检修计划!$G$2:$G$992,"&gt;"&amp;$A283,检修计划!$H$2:$H$992,1)</f>
        <v/>
      </c>
      <c r="F283" s="5">
        <f>COUNTIFS(检修计划!$E$2:$E$992,"5",检修计划!$F$2:$F$992,"&lt;"&amp;$A283+1,检修计划!$G$2:$G$992,"&gt;"&amp;$A283,检修计划!$H$2:$H$992,1)</f>
        <v/>
      </c>
    </row>
    <row r="284" ht="23" customHeight="1">
      <c r="A284" s="9" t="n">
        <v>45209</v>
      </c>
      <c r="B284" s="5">
        <f>COUNTIFS(检修计划!$E$2:$E$992,"1",检修计划!$F$2:$F$992,"&lt;"&amp;$A284+1,检修计划!$G$2:$G$992,"&gt;"&amp;$A284,检修计划!$H$2:$H$992,1)</f>
        <v/>
      </c>
      <c r="C284" s="5">
        <f>COUNTIFS(检修计划!$E$2:$E$992,"2",检修计划!$F$2:$F$992,"&lt;"&amp;$A284+1,检修计划!$G$2:$G$992,"&gt;"&amp;$A284,检修计划!$H$2:$H$992,1)</f>
        <v/>
      </c>
      <c r="D284" s="5">
        <f>COUNTIFS(检修计划!$E$2:$E$992,"3",检修计划!$F$2:$F$992,"&lt;"&amp;$A284+1,检修计划!$G$2:$G$992,"&gt;"&amp;$A284,检修计划!$H$2:$H$992,1)</f>
        <v/>
      </c>
      <c r="E284" s="5">
        <f>COUNTIFS(检修计划!$E$2:$E$992,"4",检修计划!$F$2:$F$992,"&lt;"&amp;$A284+1,检修计划!$G$2:$G$992,"&gt;"&amp;$A284,检修计划!$H$2:$H$992,1)</f>
        <v/>
      </c>
      <c r="F284" s="5">
        <f>COUNTIFS(检修计划!$E$2:$E$992,"5",检修计划!$F$2:$F$992,"&lt;"&amp;$A284+1,检修计划!$G$2:$G$992,"&gt;"&amp;$A284,检修计划!$H$2:$H$992,1)</f>
        <v/>
      </c>
    </row>
    <row r="285" ht="23" customHeight="1">
      <c r="A285" s="9" t="n">
        <v>45210</v>
      </c>
      <c r="B285" s="5">
        <f>COUNTIFS(检修计划!$E$2:$E$992,"1",检修计划!$F$2:$F$992,"&lt;"&amp;$A285+1,检修计划!$G$2:$G$992,"&gt;"&amp;$A285,检修计划!$H$2:$H$992,1)</f>
        <v/>
      </c>
      <c r="C285" s="5">
        <f>COUNTIFS(检修计划!$E$2:$E$992,"2",检修计划!$F$2:$F$992,"&lt;"&amp;$A285+1,检修计划!$G$2:$G$992,"&gt;"&amp;$A285,检修计划!$H$2:$H$992,1)</f>
        <v/>
      </c>
      <c r="D285" s="5">
        <f>COUNTIFS(检修计划!$E$2:$E$992,"3",检修计划!$F$2:$F$992,"&lt;"&amp;$A285+1,检修计划!$G$2:$G$992,"&gt;"&amp;$A285,检修计划!$H$2:$H$992,1)</f>
        <v/>
      </c>
      <c r="E285" s="5">
        <f>COUNTIFS(检修计划!$E$2:$E$992,"4",检修计划!$F$2:$F$992,"&lt;"&amp;$A285+1,检修计划!$G$2:$G$992,"&gt;"&amp;$A285,检修计划!$H$2:$H$992,1)</f>
        <v/>
      </c>
      <c r="F285" s="5">
        <f>COUNTIFS(检修计划!$E$2:$E$992,"5",检修计划!$F$2:$F$992,"&lt;"&amp;$A285+1,检修计划!$G$2:$G$992,"&gt;"&amp;$A285,检修计划!$H$2:$H$992,1)</f>
        <v/>
      </c>
    </row>
    <row r="286" ht="23" customHeight="1">
      <c r="A286" s="9" t="n">
        <v>45211</v>
      </c>
      <c r="B286" s="5">
        <f>COUNTIFS(检修计划!$E$2:$E$992,"1",检修计划!$F$2:$F$992,"&lt;"&amp;$A286+1,检修计划!$G$2:$G$992,"&gt;"&amp;$A286,检修计划!$H$2:$H$992,1)</f>
        <v/>
      </c>
      <c r="C286" s="5">
        <f>COUNTIFS(检修计划!$E$2:$E$992,"2",检修计划!$F$2:$F$992,"&lt;"&amp;$A286+1,检修计划!$G$2:$G$992,"&gt;"&amp;$A286,检修计划!$H$2:$H$992,1)</f>
        <v/>
      </c>
      <c r="D286" s="5">
        <f>COUNTIFS(检修计划!$E$2:$E$992,"3",检修计划!$F$2:$F$992,"&lt;"&amp;$A286+1,检修计划!$G$2:$G$992,"&gt;"&amp;$A286,检修计划!$H$2:$H$992,1)</f>
        <v/>
      </c>
      <c r="E286" s="5">
        <f>COUNTIFS(检修计划!$E$2:$E$992,"4",检修计划!$F$2:$F$992,"&lt;"&amp;$A286+1,检修计划!$G$2:$G$992,"&gt;"&amp;$A286,检修计划!$H$2:$H$992,1)</f>
        <v/>
      </c>
      <c r="F286" s="5">
        <f>COUNTIFS(检修计划!$E$2:$E$992,"5",检修计划!$F$2:$F$992,"&lt;"&amp;$A286+1,检修计划!$G$2:$G$992,"&gt;"&amp;$A286,检修计划!$H$2:$H$992,1)</f>
        <v/>
      </c>
    </row>
    <row r="287" ht="23" customHeight="1">
      <c r="A287" s="9" t="n">
        <v>45212</v>
      </c>
      <c r="B287" s="5">
        <f>COUNTIFS(检修计划!$E$2:$E$992,"1",检修计划!$F$2:$F$992,"&lt;"&amp;$A287+1,检修计划!$G$2:$G$992,"&gt;"&amp;$A287,检修计划!$H$2:$H$992,1)</f>
        <v/>
      </c>
      <c r="C287" s="5">
        <f>COUNTIFS(检修计划!$E$2:$E$992,"2",检修计划!$F$2:$F$992,"&lt;"&amp;$A287+1,检修计划!$G$2:$G$992,"&gt;"&amp;$A287,检修计划!$H$2:$H$992,1)</f>
        <v/>
      </c>
      <c r="D287" s="5">
        <f>COUNTIFS(检修计划!$E$2:$E$992,"3",检修计划!$F$2:$F$992,"&lt;"&amp;$A287+1,检修计划!$G$2:$G$992,"&gt;"&amp;$A287,检修计划!$H$2:$H$992,1)</f>
        <v/>
      </c>
      <c r="E287" s="5">
        <f>COUNTIFS(检修计划!$E$2:$E$992,"4",检修计划!$F$2:$F$992,"&lt;"&amp;$A287+1,检修计划!$G$2:$G$992,"&gt;"&amp;$A287,检修计划!$H$2:$H$992,1)</f>
        <v/>
      </c>
      <c r="F287" s="5">
        <f>COUNTIFS(检修计划!$E$2:$E$992,"5",检修计划!$F$2:$F$992,"&lt;"&amp;$A287+1,检修计划!$G$2:$G$992,"&gt;"&amp;$A287,检修计划!$H$2:$H$992,1)</f>
        <v/>
      </c>
    </row>
    <row r="288" ht="23" customHeight="1">
      <c r="A288" s="9" t="n">
        <v>45213</v>
      </c>
      <c r="B288" s="5">
        <f>COUNTIFS(检修计划!$E$2:$E$992,"1",检修计划!$F$2:$F$992,"&lt;"&amp;$A288+1,检修计划!$G$2:$G$992,"&gt;"&amp;$A288,检修计划!$H$2:$H$992,1)</f>
        <v/>
      </c>
      <c r="C288" s="5">
        <f>COUNTIFS(检修计划!$E$2:$E$992,"2",检修计划!$F$2:$F$992,"&lt;"&amp;$A288+1,检修计划!$G$2:$G$992,"&gt;"&amp;$A288,检修计划!$H$2:$H$992,1)</f>
        <v/>
      </c>
      <c r="D288" s="5">
        <f>COUNTIFS(检修计划!$E$2:$E$992,"3",检修计划!$F$2:$F$992,"&lt;"&amp;$A288+1,检修计划!$G$2:$G$992,"&gt;"&amp;$A288,检修计划!$H$2:$H$992,1)</f>
        <v/>
      </c>
      <c r="E288" s="5">
        <f>COUNTIFS(检修计划!$E$2:$E$992,"4",检修计划!$F$2:$F$992,"&lt;"&amp;$A288+1,检修计划!$G$2:$G$992,"&gt;"&amp;$A288,检修计划!$H$2:$H$992,1)</f>
        <v/>
      </c>
      <c r="F288" s="5">
        <f>COUNTIFS(检修计划!$E$2:$E$992,"5",检修计划!$F$2:$F$992,"&lt;"&amp;$A288+1,检修计划!$G$2:$G$992,"&gt;"&amp;$A288,检修计划!$H$2:$H$992,1)</f>
        <v/>
      </c>
    </row>
    <row r="289" ht="23" customHeight="1">
      <c r="A289" s="9" t="n">
        <v>45214</v>
      </c>
      <c r="B289" s="5">
        <f>COUNTIFS(检修计划!$E$2:$E$992,"1",检修计划!$F$2:$F$992,"&lt;"&amp;$A289+1,检修计划!$G$2:$G$992,"&gt;"&amp;$A289,检修计划!$H$2:$H$992,1)</f>
        <v/>
      </c>
      <c r="C289" s="5">
        <f>COUNTIFS(检修计划!$E$2:$E$992,"2",检修计划!$F$2:$F$992,"&lt;"&amp;$A289+1,检修计划!$G$2:$G$992,"&gt;"&amp;$A289,检修计划!$H$2:$H$992,1)</f>
        <v/>
      </c>
      <c r="D289" s="5">
        <f>COUNTIFS(检修计划!$E$2:$E$992,"3",检修计划!$F$2:$F$992,"&lt;"&amp;$A289+1,检修计划!$G$2:$G$992,"&gt;"&amp;$A289,检修计划!$H$2:$H$992,1)</f>
        <v/>
      </c>
      <c r="E289" s="5">
        <f>COUNTIFS(检修计划!$E$2:$E$992,"4",检修计划!$F$2:$F$992,"&lt;"&amp;$A289+1,检修计划!$G$2:$G$992,"&gt;"&amp;$A289,检修计划!$H$2:$H$992,1)</f>
        <v/>
      </c>
      <c r="F289" s="5">
        <f>COUNTIFS(检修计划!$E$2:$E$992,"5",检修计划!$F$2:$F$992,"&lt;"&amp;$A289+1,检修计划!$G$2:$G$992,"&gt;"&amp;$A289,检修计划!$H$2:$H$992,1)</f>
        <v/>
      </c>
    </row>
    <row r="290" ht="23" customHeight="1">
      <c r="A290" s="9" t="n">
        <v>45215</v>
      </c>
      <c r="B290" s="5">
        <f>COUNTIFS(检修计划!$E$2:$E$992,"1",检修计划!$F$2:$F$992,"&lt;"&amp;$A290+1,检修计划!$G$2:$G$992,"&gt;"&amp;$A290,检修计划!$H$2:$H$992,1)</f>
        <v/>
      </c>
      <c r="C290" s="5">
        <f>COUNTIFS(检修计划!$E$2:$E$992,"2",检修计划!$F$2:$F$992,"&lt;"&amp;$A290+1,检修计划!$G$2:$G$992,"&gt;"&amp;$A290,检修计划!$H$2:$H$992,1)</f>
        <v/>
      </c>
      <c r="D290" s="5">
        <f>COUNTIFS(检修计划!$E$2:$E$992,"3",检修计划!$F$2:$F$992,"&lt;"&amp;$A290+1,检修计划!$G$2:$G$992,"&gt;"&amp;$A290,检修计划!$H$2:$H$992,1)</f>
        <v/>
      </c>
      <c r="E290" s="5">
        <f>COUNTIFS(检修计划!$E$2:$E$992,"4",检修计划!$F$2:$F$992,"&lt;"&amp;$A290+1,检修计划!$G$2:$G$992,"&gt;"&amp;$A290,检修计划!$H$2:$H$992,1)</f>
        <v/>
      </c>
      <c r="F290" s="5">
        <f>COUNTIFS(检修计划!$E$2:$E$992,"5",检修计划!$F$2:$F$992,"&lt;"&amp;$A290+1,检修计划!$G$2:$G$992,"&gt;"&amp;$A290,检修计划!$H$2:$H$992,1)</f>
        <v/>
      </c>
    </row>
    <row r="291" ht="23" customHeight="1">
      <c r="A291" s="9" t="n">
        <v>45216</v>
      </c>
      <c r="B291" s="5">
        <f>COUNTIFS(检修计划!$E$2:$E$992,"1",检修计划!$F$2:$F$992,"&lt;"&amp;$A291+1,检修计划!$G$2:$G$992,"&gt;"&amp;$A291,检修计划!$H$2:$H$992,1)</f>
        <v/>
      </c>
      <c r="C291" s="5">
        <f>COUNTIFS(检修计划!$E$2:$E$992,"2",检修计划!$F$2:$F$992,"&lt;"&amp;$A291+1,检修计划!$G$2:$G$992,"&gt;"&amp;$A291,检修计划!$H$2:$H$992,1)</f>
        <v/>
      </c>
      <c r="D291" s="5">
        <f>COUNTIFS(检修计划!$E$2:$E$992,"3",检修计划!$F$2:$F$992,"&lt;"&amp;$A291+1,检修计划!$G$2:$G$992,"&gt;"&amp;$A291,检修计划!$H$2:$H$992,1)</f>
        <v/>
      </c>
      <c r="E291" s="5">
        <f>COUNTIFS(检修计划!$E$2:$E$992,"4",检修计划!$F$2:$F$992,"&lt;"&amp;$A291+1,检修计划!$G$2:$G$992,"&gt;"&amp;$A291,检修计划!$H$2:$H$992,1)</f>
        <v/>
      </c>
      <c r="F291" s="5">
        <f>COUNTIFS(检修计划!$E$2:$E$992,"5",检修计划!$F$2:$F$992,"&lt;"&amp;$A291+1,检修计划!$G$2:$G$992,"&gt;"&amp;$A291,检修计划!$H$2:$H$992,1)</f>
        <v/>
      </c>
    </row>
    <row r="292" ht="23" customHeight="1">
      <c r="A292" s="9" t="n">
        <v>45217</v>
      </c>
      <c r="B292" s="5">
        <f>COUNTIFS(检修计划!$E$2:$E$992,"1",检修计划!$F$2:$F$992,"&lt;"&amp;$A292+1,检修计划!$G$2:$G$992,"&gt;"&amp;$A292,检修计划!$H$2:$H$992,1)</f>
        <v/>
      </c>
      <c r="C292" s="5">
        <f>COUNTIFS(检修计划!$E$2:$E$992,"2",检修计划!$F$2:$F$992,"&lt;"&amp;$A292+1,检修计划!$G$2:$G$992,"&gt;"&amp;$A292,检修计划!$H$2:$H$992,1)</f>
        <v/>
      </c>
      <c r="D292" s="5">
        <f>COUNTIFS(检修计划!$E$2:$E$992,"3",检修计划!$F$2:$F$992,"&lt;"&amp;$A292+1,检修计划!$G$2:$G$992,"&gt;"&amp;$A292,检修计划!$H$2:$H$992,1)</f>
        <v/>
      </c>
      <c r="E292" s="5">
        <f>COUNTIFS(检修计划!$E$2:$E$992,"4",检修计划!$F$2:$F$992,"&lt;"&amp;$A292+1,检修计划!$G$2:$G$992,"&gt;"&amp;$A292,检修计划!$H$2:$H$992,1)</f>
        <v/>
      </c>
      <c r="F292" s="5">
        <f>COUNTIFS(检修计划!$E$2:$E$992,"5",检修计划!$F$2:$F$992,"&lt;"&amp;$A292+1,检修计划!$G$2:$G$992,"&gt;"&amp;$A292,检修计划!$H$2:$H$992,1)</f>
        <v/>
      </c>
    </row>
    <row r="293" ht="23" customHeight="1">
      <c r="A293" s="9" t="n">
        <v>45218</v>
      </c>
      <c r="B293" s="5">
        <f>COUNTIFS(检修计划!$E$2:$E$992,"1",检修计划!$F$2:$F$992,"&lt;"&amp;$A293+1,检修计划!$G$2:$G$992,"&gt;"&amp;$A293,检修计划!$H$2:$H$992,1)</f>
        <v/>
      </c>
      <c r="C293" s="5">
        <f>COUNTIFS(检修计划!$E$2:$E$992,"2",检修计划!$F$2:$F$992,"&lt;"&amp;$A293+1,检修计划!$G$2:$G$992,"&gt;"&amp;$A293,检修计划!$H$2:$H$992,1)</f>
        <v/>
      </c>
      <c r="D293" s="5">
        <f>COUNTIFS(检修计划!$E$2:$E$992,"3",检修计划!$F$2:$F$992,"&lt;"&amp;$A293+1,检修计划!$G$2:$G$992,"&gt;"&amp;$A293,检修计划!$H$2:$H$992,1)</f>
        <v/>
      </c>
      <c r="E293" s="5">
        <f>COUNTIFS(检修计划!$E$2:$E$992,"4",检修计划!$F$2:$F$992,"&lt;"&amp;$A293+1,检修计划!$G$2:$G$992,"&gt;"&amp;$A293,检修计划!$H$2:$H$992,1)</f>
        <v/>
      </c>
      <c r="F293" s="5">
        <f>COUNTIFS(检修计划!$E$2:$E$992,"5",检修计划!$F$2:$F$992,"&lt;"&amp;$A293+1,检修计划!$G$2:$G$992,"&gt;"&amp;$A293,检修计划!$H$2:$H$992,1)</f>
        <v/>
      </c>
    </row>
    <row r="294" ht="23" customHeight="1">
      <c r="A294" s="9" t="n">
        <v>45219</v>
      </c>
      <c r="B294" s="5">
        <f>COUNTIFS(检修计划!$E$2:$E$992,"1",检修计划!$F$2:$F$992,"&lt;"&amp;$A294+1,检修计划!$G$2:$G$992,"&gt;"&amp;$A294,检修计划!$H$2:$H$992,1)</f>
        <v/>
      </c>
      <c r="C294" s="5">
        <f>COUNTIFS(检修计划!$E$2:$E$992,"2",检修计划!$F$2:$F$992,"&lt;"&amp;$A294+1,检修计划!$G$2:$G$992,"&gt;"&amp;$A294,检修计划!$H$2:$H$992,1)</f>
        <v/>
      </c>
      <c r="D294" s="5">
        <f>COUNTIFS(检修计划!$E$2:$E$992,"3",检修计划!$F$2:$F$992,"&lt;"&amp;$A294+1,检修计划!$G$2:$G$992,"&gt;"&amp;$A294,检修计划!$H$2:$H$992,1)</f>
        <v/>
      </c>
      <c r="E294" s="5">
        <f>COUNTIFS(检修计划!$E$2:$E$992,"4",检修计划!$F$2:$F$992,"&lt;"&amp;$A294+1,检修计划!$G$2:$G$992,"&gt;"&amp;$A294,检修计划!$H$2:$H$992,1)</f>
        <v/>
      </c>
      <c r="F294" s="5">
        <f>COUNTIFS(检修计划!$E$2:$E$992,"5",检修计划!$F$2:$F$992,"&lt;"&amp;$A294+1,检修计划!$G$2:$G$992,"&gt;"&amp;$A294,检修计划!$H$2:$H$992,1)</f>
        <v/>
      </c>
    </row>
    <row r="295" ht="23" customHeight="1">
      <c r="A295" s="9" t="n">
        <v>45220</v>
      </c>
      <c r="B295" s="5">
        <f>COUNTIFS(检修计划!$E$2:$E$992,"1",检修计划!$F$2:$F$992,"&lt;"&amp;$A295+1,检修计划!$G$2:$G$992,"&gt;"&amp;$A295,检修计划!$H$2:$H$992,1)</f>
        <v/>
      </c>
      <c r="C295" s="5">
        <f>COUNTIFS(检修计划!$E$2:$E$992,"2",检修计划!$F$2:$F$992,"&lt;"&amp;$A295+1,检修计划!$G$2:$G$992,"&gt;"&amp;$A295,检修计划!$H$2:$H$992,1)</f>
        <v/>
      </c>
      <c r="D295" s="5">
        <f>COUNTIFS(检修计划!$E$2:$E$992,"3",检修计划!$F$2:$F$992,"&lt;"&amp;$A295+1,检修计划!$G$2:$G$992,"&gt;"&amp;$A295,检修计划!$H$2:$H$992,1)</f>
        <v/>
      </c>
      <c r="E295" s="5">
        <f>COUNTIFS(检修计划!$E$2:$E$992,"4",检修计划!$F$2:$F$992,"&lt;"&amp;$A295+1,检修计划!$G$2:$G$992,"&gt;"&amp;$A295,检修计划!$H$2:$H$992,1)</f>
        <v/>
      </c>
      <c r="F295" s="5">
        <f>COUNTIFS(检修计划!$E$2:$E$992,"5",检修计划!$F$2:$F$992,"&lt;"&amp;$A295+1,检修计划!$G$2:$G$992,"&gt;"&amp;$A295,检修计划!$H$2:$H$992,1)</f>
        <v/>
      </c>
    </row>
    <row r="296" ht="23" customHeight="1">
      <c r="A296" s="9" t="n">
        <v>45221</v>
      </c>
      <c r="B296" s="5">
        <f>COUNTIFS(检修计划!$E$2:$E$992,"1",检修计划!$F$2:$F$992,"&lt;"&amp;$A296+1,检修计划!$G$2:$G$992,"&gt;"&amp;$A296,检修计划!$H$2:$H$992,1)</f>
        <v/>
      </c>
      <c r="C296" s="5">
        <f>COUNTIFS(检修计划!$E$2:$E$992,"2",检修计划!$F$2:$F$992,"&lt;"&amp;$A296+1,检修计划!$G$2:$G$992,"&gt;"&amp;$A296,检修计划!$H$2:$H$992,1)</f>
        <v/>
      </c>
      <c r="D296" s="5">
        <f>COUNTIFS(检修计划!$E$2:$E$992,"3",检修计划!$F$2:$F$992,"&lt;"&amp;$A296+1,检修计划!$G$2:$G$992,"&gt;"&amp;$A296,检修计划!$H$2:$H$992,1)</f>
        <v/>
      </c>
      <c r="E296" s="5">
        <f>COUNTIFS(检修计划!$E$2:$E$992,"4",检修计划!$F$2:$F$992,"&lt;"&amp;$A296+1,检修计划!$G$2:$G$992,"&gt;"&amp;$A296,检修计划!$H$2:$H$992,1)</f>
        <v/>
      </c>
      <c r="F296" s="5">
        <f>COUNTIFS(检修计划!$E$2:$E$992,"5",检修计划!$F$2:$F$992,"&lt;"&amp;$A296+1,检修计划!$G$2:$G$992,"&gt;"&amp;$A296,检修计划!$H$2:$H$992,1)</f>
        <v/>
      </c>
    </row>
    <row r="297" ht="23" customHeight="1">
      <c r="A297" s="9" t="n">
        <v>45222</v>
      </c>
      <c r="B297" s="5">
        <f>COUNTIFS(检修计划!$E$2:$E$992,"1",检修计划!$F$2:$F$992,"&lt;"&amp;$A297+1,检修计划!$G$2:$G$992,"&gt;"&amp;$A297,检修计划!$H$2:$H$992,1)</f>
        <v/>
      </c>
      <c r="C297" s="5">
        <f>COUNTIFS(检修计划!$E$2:$E$992,"2",检修计划!$F$2:$F$992,"&lt;"&amp;$A297+1,检修计划!$G$2:$G$992,"&gt;"&amp;$A297,检修计划!$H$2:$H$992,1)</f>
        <v/>
      </c>
      <c r="D297" s="5">
        <f>COUNTIFS(检修计划!$E$2:$E$992,"3",检修计划!$F$2:$F$992,"&lt;"&amp;$A297+1,检修计划!$G$2:$G$992,"&gt;"&amp;$A297,检修计划!$H$2:$H$992,1)</f>
        <v/>
      </c>
      <c r="E297" s="5">
        <f>COUNTIFS(检修计划!$E$2:$E$992,"4",检修计划!$F$2:$F$992,"&lt;"&amp;$A297+1,检修计划!$G$2:$G$992,"&gt;"&amp;$A297,检修计划!$H$2:$H$992,1)</f>
        <v/>
      </c>
      <c r="F297" s="5">
        <f>COUNTIFS(检修计划!$E$2:$E$992,"5",检修计划!$F$2:$F$992,"&lt;"&amp;$A297+1,检修计划!$G$2:$G$992,"&gt;"&amp;$A297,检修计划!$H$2:$H$992,1)</f>
        <v/>
      </c>
    </row>
    <row r="298" ht="23" customHeight="1">
      <c r="A298" s="9" t="n">
        <v>45223</v>
      </c>
      <c r="B298" s="5">
        <f>COUNTIFS(检修计划!$E$2:$E$992,"1",检修计划!$F$2:$F$992,"&lt;"&amp;$A298+1,检修计划!$G$2:$G$992,"&gt;"&amp;$A298,检修计划!$H$2:$H$992,1)</f>
        <v/>
      </c>
      <c r="C298" s="5">
        <f>COUNTIFS(检修计划!$E$2:$E$992,"2",检修计划!$F$2:$F$992,"&lt;"&amp;$A298+1,检修计划!$G$2:$G$992,"&gt;"&amp;$A298,检修计划!$H$2:$H$992,1)</f>
        <v/>
      </c>
      <c r="D298" s="5">
        <f>COUNTIFS(检修计划!$E$2:$E$992,"3",检修计划!$F$2:$F$992,"&lt;"&amp;$A298+1,检修计划!$G$2:$G$992,"&gt;"&amp;$A298,检修计划!$H$2:$H$992,1)</f>
        <v/>
      </c>
      <c r="E298" s="5">
        <f>COUNTIFS(检修计划!$E$2:$E$992,"4",检修计划!$F$2:$F$992,"&lt;"&amp;$A298+1,检修计划!$G$2:$G$992,"&gt;"&amp;$A298,检修计划!$H$2:$H$992,1)</f>
        <v/>
      </c>
      <c r="F298" s="5">
        <f>COUNTIFS(检修计划!$E$2:$E$992,"5",检修计划!$F$2:$F$992,"&lt;"&amp;$A298+1,检修计划!$G$2:$G$992,"&gt;"&amp;$A298,检修计划!$H$2:$H$992,1)</f>
        <v/>
      </c>
    </row>
    <row r="299" ht="23" customHeight="1">
      <c r="A299" s="9" t="n">
        <v>45224</v>
      </c>
      <c r="B299" s="5">
        <f>COUNTIFS(检修计划!$E$2:$E$992,"1",检修计划!$F$2:$F$992,"&lt;"&amp;$A299+1,检修计划!$G$2:$G$992,"&gt;"&amp;$A299,检修计划!$H$2:$H$992,1)</f>
        <v/>
      </c>
      <c r="C299" s="5">
        <f>COUNTIFS(检修计划!$E$2:$E$992,"2",检修计划!$F$2:$F$992,"&lt;"&amp;$A299+1,检修计划!$G$2:$G$992,"&gt;"&amp;$A299,检修计划!$H$2:$H$992,1)</f>
        <v/>
      </c>
      <c r="D299" s="5">
        <f>COUNTIFS(检修计划!$E$2:$E$992,"3",检修计划!$F$2:$F$992,"&lt;"&amp;$A299+1,检修计划!$G$2:$G$992,"&gt;"&amp;$A299,检修计划!$H$2:$H$992,1)</f>
        <v/>
      </c>
      <c r="E299" s="5">
        <f>COUNTIFS(检修计划!$E$2:$E$992,"4",检修计划!$F$2:$F$992,"&lt;"&amp;$A299+1,检修计划!$G$2:$G$992,"&gt;"&amp;$A299,检修计划!$H$2:$H$992,1)</f>
        <v/>
      </c>
      <c r="F299" s="5">
        <f>COUNTIFS(检修计划!$E$2:$E$992,"5",检修计划!$F$2:$F$992,"&lt;"&amp;$A299+1,检修计划!$G$2:$G$992,"&gt;"&amp;$A299,检修计划!$H$2:$H$992,1)</f>
        <v/>
      </c>
    </row>
    <row r="300" ht="23" customHeight="1">
      <c r="A300" s="9" t="n">
        <v>45225</v>
      </c>
      <c r="B300" s="5">
        <f>COUNTIFS(检修计划!$E$2:$E$992,"1",检修计划!$F$2:$F$992,"&lt;"&amp;$A300+1,检修计划!$G$2:$G$992,"&gt;"&amp;$A300,检修计划!$H$2:$H$992,1)</f>
        <v/>
      </c>
      <c r="C300" s="5">
        <f>COUNTIFS(检修计划!$E$2:$E$992,"2",检修计划!$F$2:$F$992,"&lt;"&amp;$A300+1,检修计划!$G$2:$G$992,"&gt;"&amp;$A300,检修计划!$H$2:$H$992,1)</f>
        <v/>
      </c>
      <c r="D300" s="5">
        <f>COUNTIFS(检修计划!$E$2:$E$992,"3",检修计划!$F$2:$F$992,"&lt;"&amp;$A300+1,检修计划!$G$2:$G$992,"&gt;"&amp;$A300,检修计划!$H$2:$H$992,1)</f>
        <v/>
      </c>
      <c r="E300" s="5">
        <f>COUNTIFS(检修计划!$E$2:$E$992,"4",检修计划!$F$2:$F$992,"&lt;"&amp;$A300+1,检修计划!$G$2:$G$992,"&gt;"&amp;$A300,检修计划!$H$2:$H$992,1)</f>
        <v/>
      </c>
      <c r="F300" s="5">
        <f>COUNTIFS(检修计划!$E$2:$E$992,"5",检修计划!$F$2:$F$992,"&lt;"&amp;$A300+1,检修计划!$G$2:$G$992,"&gt;"&amp;$A300,检修计划!$H$2:$H$992,1)</f>
        <v/>
      </c>
    </row>
    <row r="301" ht="23" customHeight="1">
      <c r="A301" s="9" t="n">
        <v>45226</v>
      </c>
      <c r="B301" s="5">
        <f>COUNTIFS(检修计划!$E$2:$E$992,"1",检修计划!$F$2:$F$992,"&lt;"&amp;$A301+1,检修计划!$G$2:$G$992,"&gt;"&amp;$A301,检修计划!$H$2:$H$992,1)</f>
        <v/>
      </c>
      <c r="C301" s="5">
        <f>COUNTIFS(检修计划!$E$2:$E$992,"2",检修计划!$F$2:$F$992,"&lt;"&amp;$A301+1,检修计划!$G$2:$G$992,"&gt;"&amp;$A301,检修计划!$H$2:$H$992,1)</f>
        <v/>
      </c>
      <c r="D301" s="5">
        <f>COUNTIFS(检修计划!$E$2:$E$992,"3",检修计划!$F$2:$F$992,"&lt;"&amp;$A301+1,检修计划!$G$2:$G$992,"&gt;"&amp;$A301,检修计划!$H$2:$H$992,1)</f>
        <v/>
      </c>
      <c r="E301" s="5">
        <f>COUNTIFS(检修计划!$E$2:$E$992,"4",检修计划!$F$2:$F$992,"&lt;"&amp;$A301+1,检修计划!$G$2:$G$992,"&gt;"&amp;$A301,检修计划!$H$2:$H$992,1)</f>
        <v/>
      </c>
      <c r="F301" s="5">
        <f>COUNTIFS(检修计划!$E$2:$E$992,"5",检修计划!$F$2:$F$992,"&lt;"&amp;$A301+1,检修计划!$G$2:$G$992,"&gt;"&amp;$A301,检修计划!$H$2:$H$992,1)</f>
        <v/>
      </c>
    </row>
    <row r="302" ht="23" customHeight="1">
      <c r="A302" s="9" t="n">
        <v>45227</v>
      </c>
      <c r="B302" s="5">
        <f>COUNTIFS(检修计划!$E$2:$E$992,"1",检修计划!$F$2:$F$992,"&lt;"&amp;$A302+1,检修计划!$G$2:$G$992,"&gt;"&amp;$A302,检修计划!$H$2:$H$992,1)</f>
        <v/>
      </c>
      <c r="C302" s="5">
        <f>COUNTIFS(检修计划!$E$2:$E$992,"2",检修计划!$F$2:$F$992,"&lt;"&amp;$A302+1,检修计划!$G$2:$G$992,"&gt;"&amp;$A302,检修计划!$H$2:$H$992,1)</f>
        <v/>
      </c>
      <c r="D302" s="5">
        <f>COUNTIFS(检修计划!$E$2:$E$992,"3",检修计划!$F$2:$F$992,"&lt;"&amp;$A302+1,检修计划!$G$2:$G$992,"&gt;"&amp;$A302,检修计划!$H$2:$H$992,1)</f>
        <v/>
      </c>
      <c r="E302" s="5">
        <f>COUNTIFS(检修计划!$E$2:$E$992,"4",检修计划!$F$2:$F$992,"&lt;"&amp;$A302+1,检修计划!$G$2:$G$992,"&gt;"&amp;$A302,检修计划!$H$2:$H$992,1)</f>
        <v/>
      </c>
      <c r="F302" s="5">
        <f>COUNTIFS(检修计划!$E$2:$E$992,"5",检修计划!$F$2:$F$992,"&lt;"&amp;$A302+1,检修计划!$G$2:$G$992,"&gt;"&amp;$A302,检修计划!$H$2:$H$992,1)</f>
        <v/>
      </c>
    </row>
    <row r="303" ht="23" customHeight="1">
      <c r="A303" s="9" t="n">
        <v>45228</v>
      </c>
      <c r="B303" s="5">
        <f>COUNTIFS(检修计划!$E$2:$E$992,"1",检修计划!$F$2:$F$992,"&lt;"&amp;$A303+1,检修计划!$G$2:$G$992,"&gt;"&amp;$A303,检修计划!$H$2:$H$992,1)</f>
        <v/>
      </c>
      <c r="C303" s="5">
        <f>COUNTIFS(检修计划!$E$2:$E$992,"2",检修计划!$F$2:$F$992,"&lt;"&amp;$A303+1,检修计划!$G$2:$G$992,"&gt;"&amp;$A303,检修计划!$H$2:$H$992,1)</f>
        <v/>
      </c>
      <c r="D303" s="5">
        <f>COUNTIFS(检修计划!$E$2:$E$992,"3",检修计划!$F$2:$F$992,"&lt;"&amp;$A303+1,检修计划!$G$2:$G$992,"&gt;"&amp;$A303,检修计划!$H$2:$H$992,1)</f>
        <v/>
      </c>
      <c r="E303" s="5">
        <f>COUNTIFS(检修计划!$E$2:$E$992,"4",检修计划!$F$2:$F$992,"&lt;"&amp;$A303+1,检修计划!$G$2:$G$992,"&gt;"&amp;$A303,检修计划!$H$2:$H$992,1)</f>
        <v/>
      </c>
      <c r="F303" s="5">
        <f>COUNTIFS(检修计划!$E$2:$E$992,"5",检修计划!$F$2:$F$992,"&lt;"&amp;$A303+1,检修计划!$G$2:$G$992,"&gt;"&amp;$A303,检修计划!$H$2:$H$992,1)</f>
        <v/>
      </c>
    </row>
    <row r="304" ht="23" customHeight="1">
      <c r="A304" s="9" t="n">
        <v>45229</v>
      </c>
      <c r="B304" s="5">
        <f>COUNTIFS(检修计划!$E$2:$E$992,"1",检修计划!$F$2:$F$992,"&lt;"&amp;$A304+1,检修计划!$G$2:$G$992,"&gt;"&amp;$A304,检修计划!$H$2:$H$992,1)</f>
        <v/>
      </c>
      <c r="C304" s="5">
        <f>COUNTIFS(检修计划!$E$2:$E$992,"2",检修计划!$F$2:$F$992,"&lt;"&amp;$A304+1,检修计划!$G$2:$G$992,"&gt;"&amp;$A304,检修计划!$H$2:$H$992,1)</f>
        <v/>
      </c>
      <c r="D304" s="5">
        <f>COUNTIFS(检修计划!$E$2:$E$992,"3",检修计划!$F$2:$F$992,"&lt;"&amp;$A304+1,检修计划!$G$2:$G$992,"&gt;"&amp;$A304,检修计划!$H$2:$H$992,1)</f>
        <v/>
      </c>
      <c r="E304" s="5">
        <f>COUNTIFS(检修计划!$E$2:$E$992,"4",检修计划!$F$2:$F$992,"&lt;"&amp;$A304+1,检修计划!$G$2:$G$992,"&gt;"&amp;$A304,检修计划!$H$2:$H$992,1)</f>
        <v/>
      </c>
      <c r="F304" s="5">
        <f>COUNTIFS(检修计划!$E$2:$E$992,"5",检修计划!$F$2:$F$992,"&lt;"&amp;$A304+1,检修计划!$G$2:$G$992,"&gt;"&amp;$A304,检修计划!$H$2:$H$992,1)</f>
        <v/>
      </c>
    </row>
    <row r="305" ht="23" customHeight="1">
      <c r="A305" s="9" t="n">
        <v>45230</v>
      </c>
      <c r="B305" s="5">
        <f>COUNTIFS(检修计划!$E$2:$E$992,"1",检修计划!$F$2:$F$992,"&lt;"&amp;$A305+1,检修计划!$G$2:$G$992,"&gt;"&amp;$A305,检修计划!$H$2:$H$992,1)</f>
        <v/>
      </c>
      <c r="C305" s="5">
        <f>COUNTIFS(检修计划!$E$2:$E$992,"2",检修计划!$F$2:$F$992,"&lt;"&amp;$A305+1,检修计划!$G$2:$G$992,"&gt;"&amp;$A305,检修计划!$H$2:$H$992,1)</f>
        <v/>
      </c>
      <c r="D305" s="5">
        <f>COUNTIFS(检修计划!$E$2:$E$992,"3",检修计划!$F$2:$F$992,"&lt;"&amp;$A305+1,检修计划!$G$2:$G$992,"&gt;"&amp;$A305,检修计划!$H$2:$H$992,1)</f>
        <v/>
      </c>
      <c r="E305" s="5">
        <f>COUNTIFS(检修计划!$E$2:$E$992,"4",检修计划!$F$2:$F$992,"&lt;"&amp;$A305+1,检修计划!$G$2:$G$992,"&gt;"&amp;$A305,检修计划!$H$2:$H$992,1)</f>
        <v/>
      </c>
      <c r="F305" s="5">
        <f>COUNTIFS(检修计划!$E$2:$E$992,"5",检修计划!$F$2:$F$992,"&lt;"&amp;$A305+1,检修计划!$G$2:$G$992,"&gt;"&amp;$A305,检修计划!$H$2:$H$992,1)</f>
        <v/>
      </c>
    </row>
    <row r="306" ht="23" customHeight="1">
      <c r="A306" s="9" t="n">
        <v>45231</v>
      </c>
      <c r="B306" s="5">
        <f>COUNTIFS(检修计划!$E$2:$E$992,"1",检修计划!$F$2:$F$992,"&lt;"&amp;$A306+1,检修计划!$G$2:$G$992,"&gt;"&amp;$A306,检修计划!$H$2:$H$992,1)</f>
        <v/>
      </c>
      <c r="C306" s="5">
        <f>COUNTIFS(检修计划!$E$2:$E$992,"2",检修计划!$F$2:$F$992,"&lt;"&amp;$A306+1,检修计划!$G$2:$G$992,"&gt;"&amp;$A306,检修计划!$H$2:$H$992,1)</f>
        <v/>
      </c>
      <c r="D306" s="5">
        <f>COUNTIFS(检修计划!$E$2:$E$992,"3",检修计划!$F$2:$F$992,"&lt;"&amp;$A306+1,检修计划!$G$2:$G$992,"&gt;"&amp;$A306,检修计划!$H$2:$H$992,1)</f>
        <v/>
      </c>
      <c r="E306" s="5">
        <f>COUNTIFS(检修计划!$E$2:$E$992,"4",检修计划!$F$2:$F$992,"&lt;"&amp;$A306+1,检修计划!$G$2:$G$992,"&gt;"&amp;$A306,检修计划!$H$2:$H$992,1)</f>
        <v/>
      </c>
      <c r="F306" s="5">
        <f>COUNTIFS(检修计划!$E$2:$E$992,"5",检修计划!$F$2:$F$992,"&lt;"&amp;$A306+1,检修计划!$G$2:$G$992,"&gt;"&amp;$A306,检修计划!$H$2:$H$992,1)</f>
        <v/>
      </c>
    </row>
    <row r="307" ht="23" customHeight="1">
      <c r="A307" s="9" t="n">
        <v>45232</v>
      </c>
      <c r="B307" s="5">
        <f>COUNTIFS(检修计划!$E$2:$E$992,"1",检修计划!$F$2:$F$992,"&lt;"&amp;$A307+1,检修计划!$G$2:$G$992,"&gt;"&amp;$A307,检修计划!$H$2:$H$992,1)</f>
        <v/>
      </c>
      <c r="C307" s="5">
        <f>COUNTIFS(检修计划!$E$2:$E$992,"2",检修计划!$F$2:$F$992,"&lt;"&amp;$A307+1,检修计划!$G$2:$G$992,"&gt;"&amp;$A307,检修计划!$H$2:$H$992,1)</f>
        <v/>
      </c>
      <c r="D307" s="5">
        <f>COUNTIFS(检修计划!$E$2:$E$992,"3",检修计划!$F$2:$F$992,"&lt;"&amp;$A307+1,检修计划!$G$2:$G$992,"&gt;"&amp;$A307,检修计划!$H$2:$H$992,1)</f>
        <v/>
      </c>
      <c r="E307" s="5">
        <f>COUNTIFS(检修计划!$E$2:$E$992,"4",检修计划!$F$2:$F$992,"&lt;"&amp;$A307+1,检修计划!$G$2:$G$992,"&gt;"&amp;$A307,检修计划!$H$2:$H$992,1)</f>
        <v/>
      </c>
      <c r="F307" s="5">
        <f>COUNTIFS(检修计划!$E$2:$E$992,"5",检修计划!$F$2:$F$992,"&lt;"&amp;$A307+1,检修计划!$G$2:$G$992,"&gt;"&amp;$A307,检修计划!$H$2:$H$992,1)</f>
        <v/>
      </c>
    </row>
    <row r="308" ht="23" customHeight="1">
      <c r="A308" s="9" t="n">
        <v>45233</v>
      </c>
      <c r="B308" s="5">
        <f>COUNTIFS(检修计划!$E$2:$E$992,"1",检修计划!$F$2:$F$992,"&lt;"&amp;$A308+1,检修计划!$G$2:$G$992,"&gt;"&amp;$A308,检修计划!$H$2:$H$992,1)</f>
        <v/>
      </c>
      <c r="C308" s="5">
        <f>COUNTIFS(检修计划!$E$2:$E$992,"2",检修计划!$F$2:$F$992,"&lt;"&amp;$A308+1,检修计划!$G$2:$G$992,"&gt;"&amp;$A308,检修计划!$H$2:$H$992,1)</f>
        <v/>
      </c>
      <c r="D308" s="5">
        <f>COUNTIFS(检修计划!$E$2:$E$992,"3",检修计划!$F$2:$F$992,"&lt;"&amp;$A308+1,检修计划!$G$2:$G$992,"&gt;"&amp;$A308,检修计划!$H$2:$H$992,1)</f>
        <v/>
      </c>
      <c r="E308" s="5">
        <f>COUNTIFS(检修计划!$E$2:$E$992,"4",检修计划!$F$2:$F$992,"&lt;"&amp;$A308+1,检修计划!$G$2:$G$992,"&gt;"&amp;$A308,检修计划!$H$2:$H$992,1)</f>
        <v/>
      </c>
      <c r="F308" s="5">
        <f>COUNTIFS(检修计划!$E$2:$E$992,"5",检修计划!$F$2:$F$992,"&lt;"&amp;$A308+1,检修计划!$G$2:$G$992,"&gt;"&amp;$A308,检修计划!$H$2:$H$992,1)</f>
        <v/>
      </c>
    </row>
    <row r="309" ht="23" customHeight="1">
      <c r="A309" s="9" t="n">
        <v>45234</v>
      </c>
      <c r="B309" s="5">
        <f>COUNTIFS(检修计划!$E$2:$E$992,"1",检修计划!$F$2:$F$992,"&lt;"&amp;$A309+1,检修计划!$G$2:$G$992,"&gt;"&amp;$A309,检修计划!$H$2:$H$992,1)</f>
        <v/>
      </c>
      <c r="C309" s="5">
        <f>COUNTIFS(检修计划!$E$2:$E$992,"2",检修计划!$F$2:$F$992,"&lt;"&amp;$A309+1,检修计划!$G$2:$G$992,"&gt;"&amp;$A309,检修计划!$H$2:$H$992,1)</f>
        <v/>
      </c>
      <c r="D309" s="5">
        <f>COUNTIFS(检修计划!$E$2:$E$992,"3",检修计划!$F$2:$F$992,"&lt;"&amp;$A309+1,检修计划!$G$2:$G$992,"&gt;"&amp;$A309,检修计划!$H$2:$H$992,1)</f>
        <v/>
      </c>
      <c r="E309" s="5">
        <f>COUNTIFS(检修计划!$E$2:$E$992,"4",检修计划!$F$2:$F$992,"&lt;"&amp;$A309+1,检修计划!$G$2:$G$992,"&gt;"&amp;$A309,检修计划!$H$2:$H$992,1)</f>
        <v/>
      </c>
      <c r="F309" s="5">
        <f>COUNTIFS(检修计划!$E$2:$E$992,"5",检修计划!$F$2:$F$992,"&lt;"&amp;$A309+1,检修计划!$G$2:$G$992,"&gt;"&amp;$A309,检修计划!$H$2:$H$992,1)</f>
        <v/>
      </c>
    </row>
    <row r="310" ht="23" customHeight="1">
      <c r="A310" s="9" t="n">
        <v>45235</v>
      </c>
      <c r="B310" s="5">
        <f>COUNTIFS(检修计划!$E$2:$E$992,"1",检修计划!$F$2:$F$992,"&lt;"&amp;$A310+1,检修计划!$G$2:$G$992,"&gt;"&amp;$A310,检修计划!$H$2:$H$992,1)</f>
        <v/>
      </c>
      <c r="C310" s="5">
        <f>COUNTIFS(检修计划!$E$2:$E$992,"2",检修计划!$F$2:$F$992,"&lt;"&amp;$A310+1,检修计划!$G$2:$G$992,"&gt;"&amp;$A310,检修计划!$H$2:$H$992,1)</f>
        <v/>
      </c>
      <c r="D310" s="5">
        <f>COUNTIFS(检修计划!$E$2:$E$992,"3",检修计划!$F$2:$F$992,"&lt;"&amp;$A310+1,检修计划!$G$2:$G$992,"&gt;"&amp;$A310,检修计划!$H$2:$H$992,1)</f>
        <v/>
      </c>
      <c r="E310" s="5">
        <f>COUNTIFS(检修计划!$E$2:$E$992,"4",检修计划!$F$2:$F$992,"&lt;"&amp;$A310+1,检修计划!$G$2:$G$992,"&gt;"&amp;$A310,检修计划!$H$2:$H$992,1)</f>
        <v/>
      </c>
      <c r="F310" s="5">
        <f>COUNTIFS(检修计划!$E$2:$E$992,"5",检修计划!$F$2:$F$992,"&lt;"&amp;$A310+1,检修计划!$G$2:$G$992,"&gt;"&amp;$A310,检修计划!$H$2:$H$992,1)</f>
        <v/>
      </c>
    </row>
    <row r="311" ht="23" customHeight="1">
      <c r="A311" s="9" t="n">
        <v>45236</v>
      </c>
      <c r="B311" s="5">
        <f>COUNTIFS(检修计划!$E$2:$E$992,"1",检修计划!$F$2:$F$992,"&lt;"&amp;$A311+1,检修计划!$G$2:$G$992,"&gt;"&amp;$A311,检修计划!$H$2:$H$992,1)</f>
        <v/>
      </c>
      <c r="C311" s="5">
        <f>COUNTIFS(检修计划!$E$2:$E$992,"2",检修计划!$F$2:$F$992,"&lt;"&amp;$A311+1,检修计划!$G$2:$G$992,"&gt;"&amp;$A311,检修计划!$H$2:$H$992,1)</f>
        <v/>
      </c>
      <c r="D311" s="5">
        <f>COUNTIFS(检修计划!$E$2:$E$992,"3",检修计划!$F$2:$F$992,"&lt;"&amp;$A311+1,检修计划!$G$2:$G$992,"&gt;"&amp;$A311,检修计划!$H$2:$H$992,1)</f>
        <v/>
      </c>
      <c r="E311" s="5">
        <f>COUNTIFS(检修计划!$E$2:$E$992,"4",检修计划!$F$2:$F$992,"&lt;"&amp;$A311+1,检修计划!$G$2:$G$992,"&gt;"&amp;$A311,检修计划!$H$2:$H$992,1)</f>
        <v/>
      </c>
      <c r="F311" s="5">
        <f>COUNTIFS(检修计划!$E$2:$E$992,"5",检修计划!$F$2:$F$992,"&lt;"&amp;$A311+1,检修计划!$G$2:$G$992,"&gt;"&amp;$A311,检修计划!$H$2:$H$992,1)</f>
        <v/>
      </c>
    </row>
    <row r="312" ht="23" customHeight="1">
      <c r="A312" s="9" t="n">
        <v>45237</v>
      </c>
      <c r="B312" s="5">
        <f>COUNTIFS(检修计划!$E$2:$E$992,"1",检修计划!$F$2:$F$992,"&lt;"&amp;$A312+1,检修计划!$G$2:$G$992,"&gt;"&amp;$A312,检修计划!$H$2:$H$992,1)</f>
        <v/>
      </c>
      <c r="C312" s="5">
        <f>COUNTIFS(检修计划!$E$2:$E$992,"2",检修计划!$F$2:$F$992,"&lt;"&amp;$A312+1,检修计划!$G$2:$G$992,"&gt;"&amp;$A312,检修计划!$H$2:$H$992,1)</f>
        <v/>
      </c>
      <c r="D312" s="5">
        <f>COUNTIFS(检修计划!$E$2:$E$992,"3",检修计划!$F$2:$F$992,"&lt;"&amp;$A312+1,检修计划!$G$2:$G$992,"&gt;"&amp;$A312,检修计划!$H$2:$H$992,1)</f>
        <v/>
      </c>
      <c r="E312" s="5">
        <f>COUNTIFS(检修计划!$E$2:$E$992,"4",检修计划!$F$2:$F$992,"&lt;"&amp;$A312+1,检修计划!$G$2:$G$992,"&gt;"&amp;$A312,检修计划!$H$2:$H$992,1)</f>
        <v/>
      </c>
      <c r="F312" s="5">
        <f>COUNTIFS(检修计划!$E$2:$E$992,"5",检修计划!$F$2:$F$992,"&lt;"&amp;$A312+1,检修计划!$G$2:$G$992,"&gt;"&amp;$A312,检修计划!$H$2:$H$992,1)</f>
        <v/>
      </c>
    </row>
    <row r="313" ht="23" customHeight="1">
      <c r="A313" s="9" t="n">
        <v>45238</v>
      </c>
      <c r="B313" s="5">
        <f>COUNTIFS(检修计划!$E$2:$E$992,"1",检修计划!$F$2:$F$992,"&lt;"&amp;$A313+1,检修计划!$G$2:$G$992,"&gt;"&amp;$A313,检修计划!$H$2:$H$992,1)</f>
        <v/>
      </c>
      <c r="C313" s="5">
        <f>COUNTIFS(检修计划!$E$2:$E$992,"2",检修计划!$F$2:$F$992,"&lt;"&amp;$A313+1,检修计划!$G$2:$G$992,"&gt;"&amp;$A313,检修计划!$H$2:$H$992,1)</f>
        <v/>
      </c>
      <c r="D313" s="5">
        <f>COUNTIFS(检修计划!$E$2:$E$992,"3",检修计划!$F$2:$F$992,"&lt;"&amp;$A313+1,检修计划!$G$2:$G$992,"&gt;"&amp;$A313,检修计划!$H$2:$H$992,1)</f>
        <v/>
      </c>
      <c r="E313" s="5">
        <f>COUNTIFS(检修计划!$E$2:$E$992,"4",检修计划!$F$2:$F$992,"&lt;"&amp;$A313+1,检修计划!$G$2:$G$992,"&gt;"&amp;$A313,检修计划!$H$2:$H$992,1)</f>
        <v/>
      </c>
      <c r="F313" s="5">
        <f>COUNTIFS(检修计划!$E$2:$E$992,"5",检修计划!$F$2:$F$992,"&lt;"&amp;$A313+1,检修计划!$G$2:$G$992,"&gt;"&amp;$A313,检修计划!$H$2:$H$992,1)</f>
        <v/>
      </c>
    </row>
    <row r="314" ht="23" customHeight="1">
      <c r="A314" s="9" t="n">
        <v>45239</v>
      </c>
      <c r="B314" s="5">
        <f>COUNTIFS(检修计划!$E$2:$E$992,"1",检修计划!$F$2:$F$992,"&lt;"&amp;$A314+1,检修计划!$G$2:$G$992,"&gt;"&amp;$A314,检修计划!$H$2:$H$992,1)</f>
        <v/>
      </c>
      <c r="C314" s="5">
        <f>COUNTIFS(检修计划!$E$2:$E$992,"2",检修计划!$F$2:$F$992,"&lt;"&amp;$A314+1,检修计划!$G$2:$G$992,"&gt;"&amp;$A314,检修计划!$H$2:$H$992,1)</f>
        <v/>
      </c>
      <c r="D314" s="5">
        <f>COUNTIFS(检修计划!$E$2:$E$992,"3",检修计划!$F$2:$F$992,"&lt;"&amp;$A314+1,检修计划!$G$2:$G$992,"&gt;"&amp;$A314,检修计划!$H$2:$H$992,1)</f>
        <v/>
      </c>
      <c r="E314" s="5">
        <f>COUNTIFS(检修计划!$E$2:$E$992,"4",检修计划!$F$2:$F$992,"&lt;"&amp;$A314+1,检修计划!$G$2:$G$992,"&gt;"&amp;$A314,检修计划!$H$2:$H$992,1)</f>
        <v/>
      </c>
      <c r="F314" s="5">
        <f>COUNTIFS(检修计划!$E$2:$E$992,"5",检修计划!$F$2:$F$992,"&lt;"&amp;$A314+1,检修计划!$G$2:$G$992,"&gt;"&amp;$A314,检修计划!$H$2:$H$992,1)</f>
        <v/>
      </c>
    </row>
    <row r="315" ht="23" customHeight="1">
      <c r="A315" s="9" t="n">
        <v>45240</v>
      </c>
      <c r="B315" s="5">
        <f>COUNTIFS(检修计划!$E$2:$E$992,"1",检修计划!$F$2:$F$992,"&lt;"&amp;$A315+1,检修计划!$G$2:$G$992,"&gt;"&amp;$A315,检修计划!$H$2:$H$992,1)</f>
        <v/>
      </c>
      <c r="C315" s="5">
        <f>COUNTIFS(检修计划!$E$2:$E$992,"2",检修计划!$F$2:$F$992,"&lt;"&amp;$A315+1,检修计划!$G$2:$G$992,"&gt;"&amp;$A315,检修计划!$H$2:$H$992,1)</f>
        <v/>
      </c>
      <c r="D315" s="5">
        <f>COUNTIFS(检修计划!$E$2:$E$992,"3",检修计划!$F$2:$F$992,"&lt;"&amp;$A315+1,检修计划!$G$2:$G$992,"&gt;"&amp;$A315,检修计划!$H$2:$H$992,1)</f>
        <v/>
      </c>
      <c r="E315" s="5">
        <f>COUNTIFS(检修计划!$E$2:$E$992,"4",检修计划!$F$2:$F$992,"&lt;"&amp;$A315+1,检修计划!$G$2:$G$992,"&gt;"&amp;$A315,检修计划!$H$2:$H$992,1)</f>
        <v/>
      </c>
      <c r="F315" s="5">
        <f>COUNTIFS(检修计划!$E$2:$E$992,"5",检修计划!$F$2:$F$992,"&lt;"&amp;$A315+1,检修计划!$G$2:$G$992,"&gt;"&amp;$A315,检修计划!$H$2:$H$992,1)</f>
        <v/>
      </c>
    </row>
    <row r="316" ht="23" customHeight="1">
      <c r="A316" s="9" t="n">
        <v>45241</v>
      </c>
      <c r="B316" s="5">
        <f>COUNTIFS(检修计划!$E$2:$E$992,"1",检修计划!$F$2:$F$992,"&lt;"&amp;$A316+1,检修计划!$G$2:$G$992,"&gt;"&amp;$A316,检修计划!$H$2:$H$992,1)</f>
        <v/>
      </c>
      <c r="C316" s="5">
        <f>COUNTIFS(检修计划!$E$2:$E$992,"2",检修计划!$F$2:$F$992,"&lt;"&amp;$A316+1,检修计划!$G$2:$G$992,"&gt;"&amp;$A316,检修计划!$H$2:$H$992,1)</f>
        <v/>
      </c>
      <c r="D316" s="5">
        <f>COUNTIFS(检修计划!$E$2:$E$992,"3",检修计划!$F$2:$F$992,"&lt;"&amp;$A316+1,检修计划!$G$2:$G$992,"&gt;"&amp;$A316,检修计划!$H$2:$H$992,1)</f>
        <v/>
      </c>
      <c r="E316" s="5">
        <f>COUNTIFS(检修计划!$E$2:$E$992,"4",检修计划!$F$2:$F$992,"&lt;"&amp;$A316+1,检修计划!$G$2:$G$992,"&gt;"&amp;$A316,检修计划!$H$2:$H$992,1)</f>
        <v/>
      </c>
      <c r="F316" s="5">
        <f>COUNTIFS(检修计划!$E$2:$E$992,"5",检修计划!$F$2:$F$992,"&lt;"&amp;$A316+1,检修计划!$G$2:$G$992,"&gt;"&amp;$A316,检修计划!$H$2:$H$992,1)</f>
        <v/>
      </c>
    </row>
    <row r="317" ht="23" customHeight="1">
      <c r="A317" s="9" t="n">
        <v>45242</v>
      </c>
      <c r="B317" s="5">
        <f>COUNTIFS(检修计划!$E$2:$E$992,"1",检修计划!$F$2:$F$992,"&lt;"&amp;$A317+1,检修计划!$G$2:$G$992,"&gt;"&amp;$A317,检修计划!$H$2:$H$992,1)</f>
        <v/>
      </c>
      <c r="C317" s="5">
        <f>COUNTIFS(检修计划!$E$2:$E$992,"2",检修计划!$F$2:$F$992,"&lt;"&amp;$A317+1,检修计划!$G$2:$G$992,"&gt;"&amp;$A317,检修计划!$H$2:$H$992,1)</f>
        <v/>
      </c>
      <c r="D317" s="5">
        <f>COUNTIFS(检修计划!$E$2:$E$992,"3",检修计划!$F$2:$F$992,"&lt;"&amp;$A317+1,检修计划!$G$2:$G$992,"&gt;"&amp;$A317,检修计划!$H$2:$H$992,1)</f>
        <v/>
      </c>
      <c r="E317" s="5">
        <f>COUNTIFS(检修计划!$E$2:$E$992,"4",检修计划!$F$2:$F$992,"&lt;"&amp;$A317+1,检修计划!$G$2:$G$992,"&gt;"&amp;$A317,检修计划!$H$2:$H$992,1)</f>
        <v/>
      </c>
      <c r="F317" s="5">
        <f>COUNTIFS(检修计划!$E$2:$E$992,"5",检修计划!$F$2:$F$992,"&lt;"&amp;$A317+1,检修计划!$G$2:$G$992,"&gt;"&amp;$A317,检修计划!$H$2:$H$992,1)</f>
        <v/>
      </c>
    </row>
    <row r="318" ht="23" customHeight="1">
      <c r="A318" s="9" t="n">
        <v>45243</v>
      </c>
      <c r="B318" s="5">
        <f>COUNTIFS(检修计划!$E$2:$E$992,"1",检修计划!$F$2:$F$992,"&lt;"&amp;$A318+1,检修计划!$G$2:$G$992,"&gt;"&amp;$A318,检修计划!$H$2:$H$992,1)</f>
        <v/>
      </c>
      <c r="C318" s="5">
        <f>COUNTIFS(检修计划!$E$2:$E$992,"2",检修计划!$F$2:$F$992,"&lt;"&amp;$A318+1,检修计划!$G$2:$G$992,"&gt;"&amp;$A318,检修计划!$H$2:$H$992,1)</f>
        <v/>
      </c>
      <c r="D318" s="5">
        <f>COUNTIFS(检修计划!$E$2:$E$992,"3",检修计划!$F$2:$F$992,"&lt;"&amp;$A318+1,检修计划!$G$2:$G$992,"&gt;"&amp;$A318,检修计划!$H$2:$H$992,1)</f>
        <v/>
      </c>
      <c r="E318" s="5">
        <f>COUNTIFS(检修计划!$E$2:$E$992,"4",检修计划!$F$2:$F$992,"&lt;"&amp;$A318+1,检修计划!$G$2:$G$992,"&gt;"&amp;$A318,检修计划!$H$2:$H$992,1)</f>
        <v/>
      </c>
      <c r="F318" s="5">
        <f>COUNTIFS(检修计划!$E$2:$E$992,"5",检修计划!$F$2:$F$992,"&lt;"&amp;$A318+1,检修计划!$G$2:$G$992,"&gt;"&amp;$A318,检修计划!$H$2:$H$992,1)</f>
        <v/>
      </c>
    </row>
    <row r="319" ht="23" customHeight="1">
      <c r="A319" s="9" t="n">
        <v>45244</v>
      </c>
      <c r="B319" s="5">
        <f>COUNTIFS(检修计划!$E$2:$E$992,"1",检修计划!$F$2:$F$992,"&lt;"&amp;$A319+1,检修计划!$G$2:$G$992,"&gt;"&amp;$A319,检修计划!$H$2:$H$992,1)</f>
        <v/>
      </c>
      <c r="C319" s="5">
        <f>COUNTIFS(检修计划!$E$2:$E$992,"2",检修计划!$F$2:$F$992,"&lt;"&amp;$A319+1,检修计划!$G$2:$G$992,"&gt;"&amp;$A319,检修计划!$H$2:$H$992,1)</f>
        <v/>
      </c>
      <c r="D319" s="5">
        <f>COUNTIFS(检修计划!$E$2:$E$992,"3",检修计划!$F$2:$F$992,"&lt;"&amp;$A319+1,检修计划!$G$2:$G$992,"&gt;"&amp;$A319,检修计划!$H$2:$H$992,1)</f>
        <v/>
      </c>
      <c r="E319" s="5">
        <f>COUNTIFS(检修计划!$E$2:$E$992,"4",检修计划!$F$2:$F$992,"&lt;"&amp;$A319+1,检修计划!$G$2:$G$992,"&gt;"&amp;$A319,检修计划!$H$2:$H$992,1)</f>
        <v/>
      </c>
      <c r="F319" s="5">
        <f>COUNTIFS(检修计划!$E$2:$E$992,"5",检修计划!$F$2:$F$992,"&lt;"&amp;$A319+1,检修计划!$G$2:$G$992,"&gt;"&amp;$A319,检修计划!$H$2:$H$992,1)</f>
        <v/>
      </c>
    </row>
    <row r="320" ht="23" customHeight="1">
      <c r="A320" s="9" t="n">
        <v>45245</v>
      </c>
      <c r="B320" s="5">
        <f>COUNTIFS(检修计划!$E$2:$E$992,"1",检修计划!$F$2:$F$992,"&lt;"&amp;$A320+1,检修计划!$G$2:$G$992,"&gt;"&amp;$A320,检修计划!$H$2:$H$992,1)</f>
        <v/>
      </c>
      <c r="C320" s="5">
        <f>COUNTIFS(检修计划!$E$2:$E$992,"2",检修计划!$F$2:$F$992,"&lt;"&amp;$A320+1,检修计划!$G$2:$G$992,"&gt;"&amp;$A320,检修计划!$H$2:$H$992,1)</f>
        <v/>
      </c>
      <c r="D320" s="5">
        <f>COUNTIFS(检修计划!$E$2:$E$992,"3",检修计划!$F$2:$F$992,"&lt;"&amp;$A320+1,检修计划!$G$2:$G$992,"&gt;"&amp;$A320,检修计划!$H$2:$H$992,1)</f>
        <v/>
      </c>
      <c r="E320" s="5">
        <f>COUNTIFS(检修计划!$E$2:$E$992,"4",检修计划!$F$2:$F$992,"&lt;"&amp;$A320+1,检修计划!$G$2:$G$992,"&gt;"&amp;$A320,检修计划!$H$2:$H$992,1)</f>
        <v/>
      </c>
      <c r="F320" s="5">
        <f>COUNTIFS(检修计划!$E$2:$E$992,"5",检修计划!$F$2:$F$992,"&lt;"&amp;$A320+1,检修计划!$G$2:$G$992,"&gt;"&amp;$A320,检修计划!$H$2:$H$992,1)</f>
        <v/>
      </c>
    </row>
    <row r="321" ht="23" customHeight="1">
      <c r="A321" s="9" t="n">
        <v>45246</v>
      </c>
      <c r="B321" s="5">
        <f>COUNTIFS(检修计划!$E$2:$E$992,"1",检修计划!$F$2:$F$992,"&lt;"&amp;$A321+1,检修计划!$G$2:$G$992,"&gt;"&amp;$A321,检修计划!$H$2:$H$992,1)</f>
        <v/>
      </c>
      <c r="C321" s="5">
        <f>COUNTIFS(检修计划!$E$2:$E$992,"2",检修计划!$F$2:$F$992,"&lt;"&amp;$A321+1,检修计划!$G$2:$G$992,"&gt;"&amp;$A321,检修计划!$H$2:$H$992,1)</f>
        <v/>
      </c>
      <c r="D321" s="5">
        <f>COUNTIFS(检修计划!$E$2:$E$992,"3",检修计划!$F$2:$F$992,"&lt;"&amp;$A321+1,检修计划!$G$2:$G$992,"&gt;"&amp;$A321,检修计划!$H$2:$H$992,1)</f>
        <v/>
      </c>
      <c r="E321" s="5">
        <f>COUNTIFS(检修计划!$E$2:$E$992,"4",检修计划!$F$2:$F$992,"&lt;"&amp;$A321+1,检修计划!$G$2:$G$992,"&gt;"&amp;$A321,检修计划!$H$2:$H$992,1)</f>
        <v/>
      </c>
      <c r="F321" s="5">
        <f>COUNTIFS(检修计划!$E$2:$E$992,"5",检修计划!$F$2:$F$992,"&lt;"&amp;$A321+1,检修计划!$G$2:$G$992,"&gt;"&amp;$A321,检修计划!$H$2:$H$992,1)</f>
        <v/>
      </c>
    </row>
    <row r="322" ht="23" customHeight="1">
      <c r="A322" s="9" t="n">
        <v>45247</v>
      </c>
      <c r="B322" s="5">
        <f>COUNTIFS(检修计划!$E$2:$E$992,"1",检修计划!$F$2:$F$992,"&lt;"&amp;$A322+1,检修计划!$G$2:$G$992,"&gt;"&amp;$A322,检修计划!$H$2:$H$992,1)</f>
        <v/>
      </c>
      <c r="C322" s="5">
        <f>COUNTIFS(检修计划!$E$2:$E$992,"2",检修计划!$F$2:$F$992,"&lt;"&amp;$A322+1,检修计划!$G$2:$G$992,"&gt;"&amp;$A322,检修计划!$H$2:$H$992,1)</f>
        <v/>
      </c>
      <c r="D322" s="5">
        <f>COUNTIFS(检修计划!$E$2:$E$992,"3",检修计划!$F$2:$F$992,"&lt;"&amp;$A322+1,检修计划!$G$2:$G$992,"&gt;"&amp;$A322,检修计划!$H$2:$H$992,1)</f>
        <v/>
      </c>
      <c r="E322" s="5">
        <f>COUNTIFS(检修计划!$E$2:$E$992,"4",检修计划!$F$2:$F$992,"&lt;"&amp;$A322+1,检修计划!$G$2:$G$992,"&gt;"&amp;$A322,检修计划!$H$2:$H$992,1)</f>
        <v/>
      </c>
      <c r="F322" s="5">
        <f>COUNTIFS(检修计划!$E$2:$E$992,"5",检修计划!$F$2:$F$992,"&lt;"&amp;$A322+1,检修计划!$G$2:$G$992,"&gt;"&amp;$A322,检修计划!$H$2:$H$992,1)</f>
        <v/>
      </c>
    </row>
    <row r="323" ht="23" customHeight="1">
      <c r="A323" s="9" t="n">
        <v>45248</v>
      </c>
      <c r="B323" s="5">
        <f>COUNTIFS(检修计划!$E$2:$E$992,"1",检修计划!$F$2:$F$992,"&lt;"&amp;$A323+1,检修计划!$G$2:$G$992,"&gt;"&amp;$A323,检修计划!$H$2:$H$992,1)</f>
        <v/>
      </c>
      <c r="C323" s="5">
        <f>COUNTIFS(检修计划!$E$2:$E$992,"2",检修计划!$F$2:$F$992,"&lt;"&amp;$A323+1,检修计划!$G$2:$G$992,"&gt;"&amp;$A323,检修计划!$H$2:$H$992,1)</f>
        <v/>
      </c>
      <c r="D323" s="5">
        <f>COUNTIFS(检修计划!$E$2:$E$992,"3",检修计划!$F$2:$F$992,"&lt;"&amp;$A323+1,检修计划!$G$2:$G$992,"&gt;"&amp;$A323,检修计划!$H$2:$H$992,1)</f>
        <v/>
      </c>
      <c r="E323" s="5">
        <f>COUNTIFS(检修计划!$E$2:$E$992,"4",检修计划!$F$2:$F$992,"&lt;"&amp;$A323+1,检修计划!$G$2:$G$992,"&gt;"&amp;$A323,检修计划!$H$2:$H$992,1)</f>
        <v/>
      </c>
      <c r="F323" s="5">
        <f>COUNTIFS(检修计划!$E$2:$E$992,"5",检修计划!$F$2:$F$992,"&lt;"&amp;$A323+1,检修计划!$G$2:$G$992,"&gt;"&amp;$A323,检修计划!$H$2:$H$992,1)</f>
        <v/>
      </c>
    </row>
    <row r="324" ht="23" customHeight="1">
      <c r="A324" s="9" t="n">
        <v>45249</v>
      </c>
      <c r="B324" s="5">
        <f>COUNTIFS(检修计划!$E$2:$E$992,"1",检修计划!$F$2:$F$992,"&lt;"&amp;$A324+1,检修计划!$G$2:$G$992,"&gt;"&amp;$A324,检修计划!$H$2:$H$992,1)</f>
        <v/>
      </c>
      <c r="C324" s="5">
        <f>COUNTIFS(检修计划!$E$2:$E$992,"2",检修计划!$F$2:$F$992,"&lt;"&amp;$A324+1,检修计划!$G$2:$G$992,"&gt;"&amp;$A324,检修计划!$H$2:$H$992,1)</f>
        <v/>
      </c>
      <c r="D324" s="5">
        <f>COUNTIFS(检修计划!$E$2:$E$992,"3",检修计划!$F$2:$F$992,"&lt;"&amp;$A324+1,检修计划!$G$2:$G$992,"&gt;"&amp;$A324,检修计划!$H$2:$H$992,1)</f>
        <v/>
      </c>
      <c r="E324" s="5">
        <f>COUNTIFS(检修计划!$E$2:$E$992,"4",检修计划!$F$2:$F$992,"&lt;"&amp;$A324+1,检修计划!$G$2:$G$992,"&gt;"&amp;$A324,检修计划!$H$2:$H$992,1)</f>
        <v/>
      </c>
      <c r="F324" s="5">
        <f>COUNTIFS(检修计划!$E$2:$E$992,"5",检修计划!$F$2:$F$992,"&lt;"&amp;$A324+1,检修计划!$G$2:$G$992,"&gt;"&amp;$A324,检修计划!$H$2:$H$992,1)</f>
        <v/>
      </c>
    </row>
    <row r="325" ht="23" customHeight="1">
      <c r="A325" s="9" t="n">
        <v>45250</v>
      </c>
      <c r="B325" s="5">
        <f>COUNTIFS(检修计划!$E$2:$E$992,"1",检修计划!$F$2:$F$992,"&lt;"&amp;$A325+1,检修计划!$G$2:$G$992,"&gt;"&amp;$A325,检修计划!$H$2:$H$992,1)</f>
        <v/>
      </c>
      <c r="C325" s="5">
        <f>COUNTIFS(检修计划!$E$2:$E$992,"2",检修计划!$F$2:$F$992,"&lt;"&amp;$A325+1,检修计划!$G$2:$G$992,"&gt;"&amp;$A325,检修计划!$H$2:$H$992,1)</f>
        <v/>
      </c>
      <c r="D325" s="5">
        <f>COUNTIFS(检修计划!$E$2:$E$992,"3",检修计划!$F$2:$F$992,"&lt;"&amp;$A325+1,检修计划!$G$2:$G$992,"&gt;"&amp;$A325,检修计划!$H$2:$H$992,1)</f>
        <v/>
      </c>
      <c r="E325" s="5">
        <f>COUNTIFS(检修计划!$E$2:$E$992,"4",检修计划!$F$2:$F$992,"&lt;"&amp;$A325+1,检修计划!$G$2:$G$992,"&gt;"&amp;$A325,检修计划!$H$2:$H$992,1)</f>
        <v/>
      </c>
      <c r="F325" s="5">
        <f>COUNTIFS(检修计划!$E$2:$E$992,"5",检修计划!$F$2:$F$992,"&lt;"&amp;$A325+1,检修计划!$G$2:$G$992,"&gt;"&amp;$A325,检修计划!$H$2:$H$992,1)</f>
        <v/>
      </c>
    </row>
    <row r="326" ht="23" customHeight="1">
      <c r="A326" s="9" t="n">
        <v>45251</v>
      </c>
      <c r="B326" s="5">
        <f>COUNTIFS(检修计划!$E$2:$E$992,"1",检修计划!$F$2:$F$992,"&lt;"&amp;$A326+1,检修计划!$G$2:$G$992,"&gt;"&amp;$A326,检修计划!$H$2:$H$992,1)</f>
        <v/>
      </c>
      <c r="C326" s="5">
        <f>COUNTIFS(检修计划!$E$2:$E$992,"2",检修计划!$F$2:$F$992,"&lt;"&amp;$A326+1,检修计划!$G$2:$G$992,"&gt;"&amp;$A326,检修计划!$H$2:$H$992,1)</f>
        <v/>
      </c>
      <c r="D326" s="5">
        <f>COUNTIFS(检修计划!$E$2:$E$992,"3",检修计划!$F$2:$F$992,"&lt;"&amp;$A326+1,检修计划!$G$2:$G$992,"&gt;"&amp;$A326,检修计划!$H$2:$H$992,1)</f>
        <v/>
      </c>
      <c r="E326" s="5">
        <f>COUNTIFS(检修计划!$E$2:$E$992,"4",检修计划!$F$2:$F$992,"&lt;"&amp;$A326+1,检修计划!$G$2:$G$992,"&gt;"&amp;$A326,检修计划!$H$2:$H$992,1)</f>
        <v/>
      </c>
      <c r="F326" s="5">
        <f>COUNTIFS(检修计划!$E$2:$E$992,"5",检修计划!$F$2:$F$992,"&lt;"&amp;$A326+1,检修计划!$G$2:$G$992,"&gt;"&amp;$A326,检修计划!$H$2:$H$992,1)</f>
        <v/>
      </c>
    </row>
    <row r="327" ht="23" customHeight="1">
      <c r="A327" s="9" t="n">
        <v>45252</v>
      </c>
      <c r="B327" s="5">
        <f>COUNTIFS(检修计划!$E$2:$E$992,"1",检修计划!$F$2:$F$992,"&lt;"&amp;$A327+1,检修计划!$G$2:$G$992,"&gt;"&amp;$A327,检修计划!$H$2:$H$992,1)</f>
        <v/>
      </c>
      <c r="C327" s="5">
        <f>COUNTIFS(检修计划!$E$2:$E$992,"2",检修计划!$F$2:$F$992,"&lt;"&amp;$A327+1,检修计划!$G$2:$G$992,"&gt;"&amp;$A327,检修计划!$H$2:$H$992,1)</f>
        <v/>
      </c>
      <c r="D327" s="5">
        <f>COUNTIFS(检修计划!$E$2:$E$992,"3",检修计划!$F$2:$F$992,"&lt;"&amp;$A327+1,检修计划!$G$2:$G$992,"&gt;"&amp;$A327,检修计划!$H$2:$H$992,1)</f>
        <v/>
      </c>
      <c r="E327" s="5">
        <f>COUNTIFS(检修计划!$E$2:$E$992,"4",检修计划!$F$2:$F$992,"&lt;"&amp;$A327+1,检修计划!$G$2:$G$992,"&gt;"&amp;$A327,检修计划!$H$2:$H$992,1)</f>
        <v/>
      </c>
      <c r="F327" s="5">
        <f>COUNTIFS(检修计划!$E$2:$E$992,"5",检修计划!$F$2:$F$992,"&lt;"&amp;$A327+1,检修计划!$G$2:$G$992,"&gt;"&amp;$A327,检修计划!$H$2:$H$992,1)</f>
        <v/>
      </c>
    </row>
    <row r="328" ht="23" customHeight="1">
      <c r="A328" s="9" t="n">
        <v>45253</v>
      </c>
      <c r="B328" s="5">
        <f>COUNTIFS(检修计划!$E$2:$E$992,"1",检修计划!$F$2:$F$992,"&lt;"&amp;$A328+1,检修计划!$G$2:$G$992,"&gt;"&amp;$A328,检修计划!$H$2:$H$992,1)</f>
        <v/>
      </c>
      <c r="C328" s="5">
        <f>COUNTIFS(检修计划!$E$2:$E$992,"2",检修计划!$F$2:$F$992,"&lt;"&amp;$A328+1,检修计划!$G$2:$G$992,"&gt;"&amp;$A328,检修计划!$H$2:$H$992,1)</f>
        <v/>
      </c>
      <c r="D328" s="5">
        <f>COUNTIFS(检修计划!$E$2:$E$992,"3",检修计划!$F$2:$F$992,"&lt;"&amp;$A328+1,检修计划!$G$2:$G$992,"&gt;"&amp;$A328,检修计划!$H$2:$H$992,1)</f>
        <v/>
      </c>
      <c r="E328" s="5">
        <f>COUNTIFS(检修计划!$E$2:$E$992,"4",检修计划!$F$2:$F$992,"&lt;"&amp;$A328+1,检修计划!$G$2:$G$992,"&gt;"&amp;$A328,检修计划!$H$2:$H$992,1)</f>
        <v/>
      </c>
      <c r="F328" s="5">
        <f>COUNTIFS(检修计划!$E$2:$E$992,"5",检修计划!$F$2:$F$992,"&lt;"&amp;$A328+1,检修计划!$G$2:$G$992,"&gt;"&amp;$A328,检修计划!$H$2:$H$992,1)</f>
        <v/>
      </c>
    </row>
    <row r="329" ht="23" customHeight="1">
      <c r="A329" s="9" t="n">
        <v>45254</v>
      </c>
      <c r="B329" s="5">
        <f>COUNTIFS(检修计划!$E$2:$E$992,"1",检修计划!$F$2:$F$992,"&lt;"&amp;$A329+1,检修计划!$G$2:$G$992,"&gt;"&amp;$A329,检修计划!$H$2:$H$992,1)</f>
        <v/>
      </c>
      <c r="C329" s="5">
        <f>COUNTIFS(检修计划!$E$2:$E$992,"2",检修计划!$F$2:$F$992,"&lt;"&amp;$A329+1,检修计划!$G$2:$G$992,"&gt;"&amp;$A329,检修计划!$H$2:$H$992,1)</f>
        <v/>
      </c>
      <c r="D329" s="5">
        <f>COUNTIFS(检修计划!$E$2:$E$992,"3",检修计划!$F$2:$F$992,"&lt;"&amp;$A329+1,检修计划!$G$2:$G$992,"&gt;"&amp;$A329,检修计划!$H$2:$H$992,1)</f>
        <v/>
      </c>
      <c r="E329" s="5">
        <f>COUNTIFS(检修计划!$E$2:$E$992,"4",检修计划!$F$2:$F$992,"&lt;"&amp;$A329+1,检修计划!$G$2:$G$992,"&gt;"&amp;$A329,检修计划!$H$2:$H$992,1)</f>
        <v/>
      </c>
      <c r="F329" s="5">
        <f>COUNTIFS(检修计划!$E$2:$E$992,"5",检修计划!$F$2:$F$992,"&lt;"&amp;$A329+1,检修计划!$G$2:$G$992,"&gt;"&amp;$A329,检修计划!$H$2:$H$992,1)</f>
        <v/>
      </c>
    </row>
    <row r="330" ht="23" customHeight="1">
      <c r="A330" s="9" t="n">
        <v>45255</v>
      </c>
      <c r="B330" s="5">
        <f>COUNTIFS(检修计划!$E$2:$E$992,"1",检修计划!$F$2:$F$992,"&lt;"&amp;$A330+1,检修计划!$G$2:$G$992,"&gt;"&amp;$A330,检修计划!$H$2:$H$992,1)</f>
        <v/>
      </c>
      <c r="C330" s="5">
        <f>COUNTIFS(检修计划!$E$2:$E$992,"2",检修计划!$F$2:$F$992,"&lt;"&amp;$A330+1,检修计划!$G$2:$G$992,"&gt;"&amp;$A330,检修计划!$H$2:$H$992,1)</f>
        <v/>
      </c>
      <c r="D330" s="5">
        <f>COUNTIFS(检修计划!$E$2:$E$992,"3",检修计划!$F$2:$F$992,"&lt;"&amp;$A330+1,检修计划!$G$2:$G$992,"&gt;"&amp;$A330,检修计划!$H$2:$H$992,1)</f>
        <v/>
      </c>
      <c r="E330" s="5">
        <f>COUNTIFS(检修计划!$E$2:$E$992,"4",检修计划!$F$2:$F$992,"&lt;"&amp;$A330+1,检修计划!$G$2:$G$992,"&gt;"&amp;$A330,检修计划!$H$2:$H$992,1)</f>
        <v/>
      </c>
      <c r="F330" s="5">
        <f>COUNTIFS(检修计划!$E$2:$E$992,"5",检修计划!$F$2:$F$992,"&lt;"&amp;$A330+1,检修计划!$G$2:$G$992,"&gt;"&amp;$A330,检修计划!$H$2:$H$992,1)</f>
        <v/>
      </c>
    </row>
    <row r="331" ht="23" customHeight="1">
      <c r="A331" s="9" t="n">
        <v>45256</v>
      </c>
      <c r="B331" s="5">
        <f>COUNTIFS(检修计划!$E$2:$E$992,"1",检修计划!$F$2:$F$992,"&lt;"&amp;$A331+1,检修计划!$G$2:$G$992,"&gt;"&amp;$A331,检修计划!$H$2:$H$992,1)</f>
        <v/>
      </c>
      <c r="C331" s="5">
        <f>COUNTIFS(检修计划!$E$2:$E$992,"2",检修计划!$F$2:$F$992,"&lt;"&amp;$A331+1,检修计划!$G$2:$G$992,"&gt;"&amp;$A331,检修计划!$H$2:$H$992,1)</f>
        <v/>
      </c>
      <c r="D331" s="5">
        <f>COUNTIFS(检修计划!$E$2:$E$992,"3",检修计划!$F$2:$F$992,"&lt;"&amp;$A331+1,检修计划!$G$2:$G$992,"&gt;"&amp;$A331,检修计划!$H$2:$H$992,1)</f>
        <v/>
      </c>
      <c r="E331" s="5">
        <f>COUNTIFS(检修计划!$E$2:$E$992,"4",检修计划!$F$2:$F$992,"&lt;"&amp;$A331+1,检修计划!$G$2:$G$992,"&gt;"&amp;$A331,检修计划!$H$2:$H$992,1)</f>
        <v/>
      </c>
      <c r="F331" s="5">
        <f>COUNTIFS(检修计划!$E$2:$E$992,"5",检修计划!$F$2:$F$992,"&lt;"&amp;$A331+1,检修计划!$G$2:$G$992,"&gt;"&amp;$A331,检修计划!$H$2:$H$992,1)</f>
        <v/>
      </c>
    </row>
    <row r="332" ht="23" customHeight="1">
      <c r="A332" s="9" t="n">
        <v>45257</v>
      </c>
      <c r="B332" s="5">
        <f>COUNTIFS(检修计划!$E$2:$E$992,"1",检修计划!$F$2:$F$992,"&lt;"&amp;$A332+1,检修计划!$G$2:$G$992,"&gt;"&amp;$A332,检修计划!$H$2:$H$992,1)</f>
        <v/>
      </c>
      <c r="C332" s="5">
        <f>COUNTIFS(检修计划!$E$2:$E$992,"2",检修计划!$F$2:$F$992,"&lt;"&amp;$A332+1,检修计划!$G$2:$G$992,"&gt;"&amp;$A332,检修计划!$H$2:$H$992,1)</f>
        <v/>
      </c>
      <c r="D332" s="5">
        <f>COUNTIFS(检修计划!$E$2:$E$992,"3",检修计划!$F$2:$F$992,"&lt;"&amp;$A332+1,检修计划!$G$2:$G$992,"&gt;"&amp;$A332,检修计划!$H$2:$H$992,1)</f>
        <v/>
      </c>
      <c r="E332" s="5">
        <f>COUNTIFS(检修计划!$E$2:$E$992,"4",检修计划!$F$2:$F$992,"&lt;"&amp;$A332+1,检修计划!$G$2:$G$992,"&gt;"&amp;$A332,检修计划!$H$2:$H$992,1)</f>
        <v/>
      </c>
      <c r="F332" s="5">
        <f>COUNTIFS(检修计划!$E$2:$E$992,"5",检修计划!$F$2:$F$992,"&lt;"&amp;$A332+1,检修计划!$G$2:$G$992,"&gt;"&amp;$A332,检修计划!$H$2:$H$992,1)</f>
        <v/>
      </c>
    </row>
    <row r="333" ht="23" customHeight="1">
      <c r="A333" s="9" t="n">
        <v>45258</v>
      </c>
      <c r="B333" s="5">
        <f>COUNTIFS(检修计划!$E$2:$E$992,"1",检修计划!$F$2:$F$992,"&lt;"&amp;$A333+1,检修计划!$G$2:$G$992,"&gt;"&amp;$A333,检修计划!$H$2:$H$992,1)</f>
        <v/>
      </c>
      <c r="C333" s="5">
        <f>COUNTIFS(检修计划!$E$2:$E$992,"2",检修计划!$F$2:$F$992,"&lt;"&amp;$A333+1,检修计划!$G$2:$G$992,"&gt;"&amp;$A333,检修计划!$H$2:$H$992,1)</f>
        <v/>
      </c>
      <c r="D333" s="5">
        <f>COUNTIFS(检修计划!$E$2:$E$992,"3",检修计划!$F$2:$F$992,"&lt;"&amp;$A333+1,检修计划!$G$2:$G$992,"&gt;"&amp;$A333,检修计划!$H$2:$H$992,1)</f>
        <v/>
      </c>
      <c r="E333" s="5">
        <f>COUNTIFS(检修计划!$E$2:$E$992,"4",检修计划!$F$2:$F$992,"&lt;"&amp;$A333+1,检修计划!$G$2:$G$992,"&gt;"&amp;$A333,检修计划!$H$2:$H$992,1)</f>
        <v/>
      </c>
      <c r="F333" s="5">
        <f>COUNTIFS(检修计划!$E$2:$E$992,"5",检修计划!$F$2:$F$992,"&lt;"&amp;$A333+1,检修计划!$G$2:$G$992,"&gt;"&amp;$A333,检修计划!$H$2:$H$992,1)</f>
        <v/>
      </c>
    </row>
    <row r="334" ht="23" customHeight="1">
      <c r="A334" s="9" t="n">
        <v>45259</v>
      </c>
      <c r="B334" s="5">
        <f>COUNTIFS(检修计划!$E$2:$E$992,"1",检修计划!$F$2:$F$992,"&lt;"&amp;$A334+1,检修计划!$G$2:$G$992,"&gt;"&amp;$A334,检修计划!$H$2:$H$992,1)</f>
        <v/>
      </c>
      <c r="C334" s="5">
        <f>COUNTIFS(检修计划!$E$2:$E$992,"2",检修计划!$F$2:$F$992,"&lt;"&amp;$A334+1,检修计划!$G$2:$G$992,"&gt;"&amp;$A334,检修计划!$H$2:$H$992,1)</f>
        <v/>
      </c>
      <c r="D334" s="5">
        <f>COUNTIFS(检修计划!$E$2:$E$992,"3",检修计划!$F$2:$F$992,"&lt;"&amp;$A334+1,检修计划!$G$2:$G$992,"&gt;"&amp;$A334,检修计划!$H$2:$H$992,1)</f>
        <v/>
      </c>
      <c r="E334" s="5">
        <f>COUNTIFS(检修计划!$E$2:$E$992,"4",检修计划!$F$2:$F$992,"&lt;"&amp;$A334+1,检修计划!$G$2:$G$992,"&gt;"&amp;$A334,检修计划!$H$2:$H$992,1)</f>
        <v/>
      </c>
      <c r="F334" s="5">
        <f>COUNTIFS(检修计划!$E$2:$E$992,"5",检修计划!$F$2:$F$992,"&lt;"&amp;$A334+1,检修计划!$G$2:$G$992,"&gt;"&amp;$A334,检修计划!$H$2:$H$992,1)</f>
        <v/>
      </c>
    </row>
    <row r="335" ht="23" customHeight="1">
      <c r="A335" s="9" t="n">
        <v>45260</v>
      </c>
      <c r="B335" s="5">
        <f>COUNTIFS(检修计划!$E$2:$E$992,"1",检修计划!$F$2:$F$992,"&lt;"&amp;$A335+1,检修计划!$G$2:$G$992,"&gt;"&amp;$A335,检修计划!$H$2:$H$992,1)</f>
        <v/>
      </c>
      <c r="C335" s="5">
        <f>COUNTIFS(检修计划!$E$2:$E$992,"2",检修计划!$F$2:$F$992,"&lt;"&amp;$A335+1,检修计划!$G$2:$G$992,"&gt;"&amp;$A335,检修计划!$H$2:$H$992,1)</f>
        <v/>
      </c>
      <c r="D335" s="5">
        <f>COUNTIFS(检修计划!$E$2:$E$992,"3",检修计划!$F$2:$F$992,"&lt;"&amp;$A335+1,检修计划!$G$2:$G$992,"&gt;"&amp;$A335,检修计划!$H$2:$H$992,1)</f>
        <v/>
      </c>
      <c r="E335" s="5">
        <f>COUNTIFS(检修计划!$E$2:$E$992,"4",检修计划!$F$2:$F$992,"&lt;"&amp;$A335+1,检修计划!$G$2:$G$992,"&gt;"&amp;$A335,检修计划!$H$2:$H$992,1)</f>
        <v/>
      </c>
      <c r="F335" s="5">
        <f>COUNTIFS(检修计划!$E$2:$E$992,"5",检修计划!$F$2:$F$992,"&lt;"&amp;$A335+1,检修计划!$G$2:$G$992,"&gt;"&amp;$A335,检修计划!$H$2:$H$992,1)</f>
        <v/>
      </c>
    </row>
    <row r="336" ht="23" customHeight="1">
      <c r="A336" s="9" t="n">
        <v>45261</v>
      </c>
      <c r="B336" s="5">
        <f>COUNTIFS(检修计划!$E$2:$E$992,"1",检修计划!$F$2:$F$992,"&lt;"&amp;$A336+1,检修计划!$G$2:$G$992,"&gt;"&amp;$A336,检修计划!$H$2:$H$992,1)</f>
        <v/>
      </c>
      <c r="C336" s="5">
        <f>COUNTIFS(检修计划!$E$2:$E$992,"2",检修计划!$F$2:$F$992,"&lt;"&amp;$A336+1,检修计划!$G$2:$G$992,"&gt;"&amp;$A336,检修计划!$H$2:$H$992,1)</f>
        <v/>
      </c>
      <c r="D336" s="5">
        <f>COUNTIFS(检修计划!$E$2:$E$992,"3",检修计划!$F$2:$F$992,"&lt;"&amp;$A336+1,检修计划!$G$2:$G$992,"&gt;"&amp;$A336,检修计划!$H$2:$H$992,1)</f>
        <v/>
      </c>
      <c r="E336" s="5">
        <f>COUNTIFS(检修计划!$E$2:$E$992,"4",检修计划!$F$2:$F$992,"&lt;"&amp;$A336+1,检修计划!$G$2:$G$992,"&gt;"&amp;$A336,检修计划!$H$2:$H$992,1)</f>
        <v/>
      </c>
      <c r="F336" s="5">
        <f>COUNTIFS(检修计划!$E$2:$E$992,"5",检修计划!$F$2:$F$992,"&lt;"&amp;$A336+1,检修计划!$G$2:$G$992,"&gt;"&amp;$A336,检修计划!$H$2:$H$992,1)</f>
        <v/>
      </c>
    </row>
    <row r="337" ht="23" customHeight="1">
      <c r="A337" s="9" t="n">
        <v>45262</v>
      </c>
      <c r="B337" s="5">
        <f>COUNTIFS(检修计划!$E$2:$E$992,"1",检修计划!$F$2:$F$992,"&lt;"&amp;$A337+1,检修计划!$G$2:$G$992,"&gt;"&amp;$A337,检修计划!$H$2:$H$992,1)</f>
        <v/>
      </c>
      <c r="C337" s="5">
        <f>COUNTIFS(检修计划!$E$2:$E$992,"2",检修计划!$F$2:$F$992,"&lt;"&amp;$A337+1,检修计划!$G$2:$G$992,"&gt;"&amp;$A337,检修计划!$H$2:$H$992,1)</f>
        <v/>
      </c>
      <c r="D337" s="5">
        <f>COUNTIFS(检修计划!$E$2:$E$992,"3",检修计划!$F$2:$F$992,"&lt;"&amp;$A337+1,检修计划!$G$2:$G$992,"&gt;"&amp;$A337,检修计划!$H$2:$H$992,1)</f>
        <v/>
      </c>
      <c r="E337" s="5">
        <f>COUNTIFS(检修计划!$E$2:$E$992,"4",检修计划!$F$2:$F$992,"&lt;"&amp;$A337+1,检修计划!$G$2:$G$992,"&gt;"&amp;$A337,检修计划!$H$2:$H$992,1)</f>
        <v/>
      </c>
      <c r="F337" s="5">
        <f>COUNTIFS(检修计划!$E$2:$E$992,"5",检修计划!$F$2:$F$992,"&lt;"&amp;$A337+1,检修计划!$G$2:$G$992,"&gt;"&amp;$A337,检修计划!$H$2:$H$992,1)</f>
        <v/>
      </c>
    </row>
    <row r="338" ht="23" customHeight="1">
      <c r="A338" s="9" t="n">
        <v>45263</v>
      </c>
      <c r="B338" s="5">
        <f>COUNTIFS(检修计划!$E$2:$E$992,"1",检修计划!$F$2:$F$992,"&lt;"&amp;$A338+1,检修计划!$G$2:$G$992,"&gt;"&amp;$A338,检修计划!$H$2:$H$992,1)</f>
        <v/>
      </c>
      <c r="C338" s="5">
        <f>COUNTIFS(检修计划!$E$2:$E$992,"2",检修计划!$F$2:$F$992,"&lt;"&amp;$A338+1,检修计划!$G$2:$G$992,"&gt;"&amp;$A338,检修计划!$H$2:$H$992,1)</f>
        <v/>
      </c>
      <c r="D338" s="5">
        <f>COUNTIFS(检修计划!$E$2:$E$992,"3",检修计划!$F$2:$F$992,"&lt;"&amp;$A338+1,检修计划!$G$2:$G$992,"&gt;"&amp;$A338,检修计划!$H$2:$H$992,1)</f>
        <v/>
      </c>
      <c r="E338" s="5">
        <f>COUNTIFS(检修计划!$E$2:$E$992,"4",检修计划!$F$2:$F$992,"&lt;"&amp;$A338+1,检修计划!$G$2:$G$992,"&gt;"&amp;$A338,检修计划!$H$2:$H$992,1)</f>
        <v/>
      </c>
      <c r="F338" s="5">
        <f>COUNTIFS(检修计划!$E$2:$E$992,"5",检修计划!$F$2:$F$992,"&lt;"&amp;$A338+1,检修计划!$G$2:$G$992,"&gt;"&amp;$A338,检修计划!$H$2:$H$992,1)</f>
        <v/>
      </c>
    </row>
    <row r="339" ht="23" customHeight="1">
      <c r="A339" s="9" t="n">
        <v>45264</v>
      </c>
      <c r="B339" s="5">
        <f>COUNTIFS(检修计划!$E$2:$E$992,"1",检修计划!$F$2:$F$992,"&lt;"&amp;$A339+1,检修计划!$G$2:$G$992,"&gt;"&amp;$A339,检修计划!$H$2:$H$992,1)</f>
        <v/>
      </c>
      <c r="C339" s="5">
        <f>COUNTIFS(检修计划!$E$2:$E$992,"2",检修计划!$F$2:$F$992,"&lt;"&amp;$A339+1,检修计划!$G$2:$G$992,"&gt;"&amp;$A339,检修计划!$H$2:$H$992,1)</f>
        <v/>
      </c>
      <c r="D339" s="5">
        <f>COUNTIFS(检修计划!$E$2:$E$992,"3",检修计划!$F$2:$F$992,"&lt;"&amp;$A339+1,检修计划!$G$2:$G$992,"&gt;"&amp;$A339,检修计划!$H$2:$H$992,1)</f>
        <v/>
      </c>
      <c r="E339" s="5">
        <f>COUNTIFS(检修计划!$E$2:$E$992,"4",检修计划!$F$2:$F$992,"&lt;"&amp;$A339+1,检修计划!$G$2:$G$992,"&gt;"&amp;$A339,检修计划!$H$2:$H$992,1)</f>
        <v/>
      </c>
      <c r="F339" s="5">
        <f>COUNTIFS(检修计划!$E$2:$E$992,"5",检修计划!$F$2:$F$992,"&lt;"&amp;$A339+1,检修计划!$G$2:$G$992,"&gt;"&amp;$A339,检修计划!$H$2:$H$992,1)</f>
        <v/>
      </c>
    </row>
    <row r="340" ht="23" customHeight="1">
      <c r="A340" s="9" t="n">
        <v>45265</v>
      </c>
      <c r="B340" s="5">
        <f>COUNTIFS(检修计划!$E$2:$E$992,"1",检修计划!$F$2:$F$992,"&lt;"&amp;$A340+1,检修计划!$G$2:$G$992,"&gt;"&amp;$A340,检修计划!$H$2:$H$992,1)</f>
        <v/>
      </c>
      <c r="C340" s="5">
        <f>COUNTIFS(检修计划!$E$2:$E$992,"2",检修计划!$F$2:$F$992,"&lt;"&amp;$A340+1,检修计划!$G$2:$G$992,"&gt;"&amp;$A340,检修计划!$H$2:$H$992,1)</f>
        <v/>
      </c>
      <c r="D340" s="5">
        <f>COUNTIFS(检修计划!$E$2:$E$992,"3",检修计划!$F$2:$F$992,"&lt;"&amp;$A340+1,检修计划!$G$2:$G$992,"&gt;"&amp;$A340,检修计划!$H$2:$H$992,1)</f>
        <v/>
      </c>
      <c r="E340" s="5">
        <f>COUNTIFS(检修计划!$E$2:$E$992,"4",检修计划!$F$2:$F$992,"&lt;"&amp;$A340+1,检修计划!$G$2:$G$992,"&gt;"&amp;$A340,检修计划!$H$2:$H$992,1)</f>
        <v/>
      </c>
      <c r="F340" s="5">
        <f>COUNTIFS(检修计划!$E$2:$E$992,"5",检修计划!$F$2:$F$992,"&lt;"&amp;$A340+1,检修计划!$G$2:$G$992,"&gt;"&amp;$A340,检修计划!$H$2:$H$992,1)</f>
        <v/>
      </c>
    </row>
    <row r="341" ht="23" customHeight="1">
      <c r="A341" s="9" t="n">
        <v>45266</v>
      </c>
      <c r="B341" s="5">
        <f>COUNTIFS(检修计划!$E$2:$E$992,"1",检修计划!$F$2:$F$992,"&lt;"&amp;$A341+1,检修计划!$G$2:$G$992,"&gt;"&amp;$A341,检修计划!$H$2:$H$992,1)</f>
        <v/>
      </c>
      <c r="C341" s="5">
        <f>COUNTIFS(检修计划!$E$2:$E$992,"2",检修计划!$F$2:$F$992,"&lt;"&amp;$A341+1,检修计划!$G$2:$G$992,"&gt;"&amp;$A341,检修计划!$H$2:$H$992,1)</f>
        <v/>
      </c>
      <c r="D341" s="5">
        <f>COUNTIFS(检修计划!$E$2:$E$992,"3",检修计划!$F$2:$F$992,"&lt;"&amp;$A341+1,检修计划!$G$2:$G$992,"&gt;"&amp;$A341,检修计划!$H$2:$H$992,1)</f>
        <v/>
      </c>
      <c r="E341" s="5">
        <f>COUNTIFS(检修计划!$E$2:$E$992,"4",检修计划!$F$2:$F$992,"&lt;"&amp;$A341+1,检修计划!$G$2:$G$992,"&gt;"&amp;$A341,检修计划!$H$2:$H$992,1)</f>
        <v/>
      </c>
      <c r="F341" s="5">
        <f>COUNTIFS(检修计划!$E$2:$E$992,"5",检修计划!$F$2:$F$992,"&lt;"&amp;$A341+1,检修计划!$G$2:$G$992,"&gt;"&amp;$A341,检修计划!$H$2:$H$992,1)</f>
        <v/>
      </c>
    </row>
    <row r="342" ht="23" customHeight="1">
      <c r="A342" s="9" t="n">
        <v>45267</v>
      </c>
      <c r="B342" s="5">
        <f>COUNTIFS(检修计划!$E$2:$E$992,"1",检修计划!$F$2:$F$992,"&lt;"&amp;$A342+1,检修计划!$G$2:$G$992,"&gt;"&amp;$A342,检修计划!$H$2:$H$992,1)</f>
        <v/>
      </c>
      <c r="C342" s="5">
        <f>COUNTIFS(检修计划!$E$2:$E$992,"2",检修计划!$F$2:$F$992,"&lt;"&amp;$A342+1,检修计划!$G$2:$G$992,"&gt;"&amp;$A342,检修计划!$H$2:$H$992,1)</f>
        <v/>
      </c>
      <c r="D342" s="5">
        <f>COUNTIFS(检修计划!$E$2:$E$992,"3",检修计划!$F$2:$F$992,"&lt;"&amp;$A342+1,检修计划!$G$2:$G$992,"&gt;"&amp;$A342,检修计划!$H$2:$H$992,1)</f>
        <v/>
      </c>
      <c r="E342" s="5">
        <f>COUNTIFS(检修计划!$E$2:$E$992,"4",检修计划!$F$2:$F$992,"&lt;"&amp;$A342+1,检修计划!$G$2:$G$992,"&gt;"&amp;$A342,检修计划!$H$2:$H$992,1)</f>
        <v/>
      </c>
      <c r="F342" s="5">
        <f>COUNTIFS(检修计划!$E$2:$E$992,"5",检修计划!$F$2:$F$992,"&lt;"&amp;$A342+1,检修计划!$G$2:$G$992,"&gt;"&amp;$A342,检修计划!$H$2:$H$992,1)</f>
        <v/>
      </c>
    </row>
    <row r="343" ht="23" customHeight="1">
      <c r="A343" s="9" t="n">
        <v>45268</v>
      </c>
      <c r="B343" s="5">
        <f>COUNTIFS(检修计划!$E$2:$E$992,"1",检修计划!$F$2:$F$992,"&lt;"&amp;$A343+1,检修计划!$G$2:$G$992,"&gt;"&amp;$A343,检修计划!$H$2:$H$992,1)</f>
        <v/>
      </c>
      <c r="C343" s="5">
        <f>COUNTIFS(检修计划!$E$2:$E$992,"2",检修计划!$F$2:$F$992,"&lt;"&amp;$A343+1,检修计划!$G$2:$G$992,"&gt;"&amp;$A343,检修计划!$H$2:$H$992,1)</f>
        <v/>
      </c>
      <c r="D343" s="5">
        <f>COUNTIFS(检修计划!$E$2:$E$992,"3",检修计划!$F$2:$F$992,"&lt;"&amp;$A343+1,检修计划!$G$2:$G$992,"&gt;"&amp;$A343,检修计划!$H$2:$H$992,1)</f>
        <v/>
      </c>
      <c r="E343" s="5">
        <f>COUNTIFS(检修计划!$E$2:$E$992,"4",检修计划!$F$2:$F$992,"&lt;"&amp;$A343+1,检修计划!$G$2:$G$992,"&gt;"&amp;$A343,检修计划!$H$2:$H$992,1)</f>
        <v/>
      </c>
      <c r="F343" s="5">
        <f>COUNTIFS(检修计划!$E$2:$E$992,"5",检修计划!$F$2:$F$992,"&lt;"&amp;$A343+1,检修计划!$G$2:$G$992,"&gt;"&amp;$A343,检修计划!$H$2:$H$992,1)</f>
        <v/>
      </c>
    </row>
    <row r="344" ht="23" customHeight="1">
      <c r="A344" s="9" t="n">
        <v>45269</v>
      </c>
      <c r="B344" s="5">
        <f>COUNTIFS(检修计划!$E$2:$E$992,"1",检修计划!$F$2:$F$992,"&lt;"&amp;$A344+1,检修计划!$G$2:$G$992,"&gt;"&amp;$A344,检修计划!$H$2:$H$992,1)</f>
        <v/>
      </c>
      <c r="C344" s="5">
        <f>COUNTIFS(检修计划!$E$2:$E$992,"2",检修计划!$F$2:$F$992,"&lt;"&amp;$A344+1,检修计划!$G$2:$G$992,"&gt;"&amp;$A344,检修计划!$H$2:$H$992,1)</f>
        <v/>
      </c>
      <c r="D344" s="5">
        <f>COUNTIFS(检修计划!$E$2:$E$992,"3",检修计划!$F$2:$F$992,"&lt;"&amp;$A344+1,检修计划!$G$2:$G$992,"&gt;"&amp;$A344,检修计划!$H$2:$H$992,1)</f>
        <v/>
      </c>
      <c r="E344" s="5">
        <f>COUNTIFS(检修计划!$E$2:$E$992,"4",检修计划!$F$2:$F$992,"&lt;"&amp;$A344+1,检修计划!$G$2:$G$992,"&gt;"&amp;$A344,检修计划!$H$2:$H$992,1)</f>
        <v/>
      </c>
      <c r="F344" s="5">
        <f>COUNTIFS(检修计划!$E$2:$E$992,"5",检修计划!$F$2:$F$992,"&lt;"&amp;$A344+1,检修计划!$G$2:$G$992,"&gt;"&amp;$A344,检修计划!$H$2:$H$992,1)</f>
        <v/>
      </c>
    </row>
    <row r="345" ht="23" customHeight="1">
      <c r="A345" s="9" t="n">
        <v>45270</v>
      </c>
      <c r="B345" s="5">
        <f>COUNTIFS(检修计划!$E$2:$E$992,"1",检修计划!$F$2:$F$992,"&lt;"&amp;$A345+1,检修计划!$G$2:$G$992,"&gt;"&amp;$A345,检修计划!$H$2:$H$992,1)</f>
        <v/>
      </c>
      <c r="C345" s="5">
        <f>COUNTIFS(检修计划!$E$2:$E$992,"2",检修计划!$F$2:$F$992,"&lt;"&amp;$A345+1,检修计划!$G$2:$G$992,"&gt;"&amp;$A345,检修计划!$H$2:$H$992,1)</f>
        <v/>
      </c>
      <c r="D345" s="5">
        <f>COUNTIFS(检修计划!$E$2:$E$992,"3",检修计划!$F$2:$F$992,"&lt;"&amp;$A345+1,检修计划!$G$2:$G$992,"&gt;"&amp;$A345,检修计划!$H$2:$H$992,1)</f>
        <v/>
      </c>
      <c r="E345" s="5">
        <f>COUNTIFS(检修计划!$E$2:$E$992,"4",检修计划!$F$2:$F$992,"&lt;"&amp;$A345+1,检修计划!$G$2:$G$992,"&gt;"&amp;$A345,检修计划!$H$2:$H$992,1)</f>
        <v/>
      </c>
      <c r="F345" s="5">
        <f>COUNTIFS(检修计划!$E$2:$E$992,"5",检修计划!$F$2:$F$992,"&lt;"&amp;$A345+1,检修计划!$G$2:$G$992,"&gt;"&amp;$A345,检修计划!$H$2:$H$992,1)</f>
        <v/>
      </c>
    </row>
    <row r="346" ht="23" customHeight="1">
      <c r="A346" s="9" t="n">
        <v>45271</v>
      </c>
      <c r="B346" s="5">
        <f>COUNTIFS(检修计划!$E$2:$E$992,"1",检修计划!$F$2:$F$992,"&lt;"&amp;$A346+1,检修计划!$G$2:$G$992,"&gt;"&amp;$A346,检修计划!$H$2:$H$992,1)</f>
        <v/>
      </c>
      <c r="C346" s="5">
        <f>COUNTIFS(检修计划!$E$2:$E$992,"2",检修计划!$F$2:$F$992,"&lt;"&amp;$A346+1,检修计划!$G$2:$G$992,"&gt;"&amp;$A346,检修计划!$H$2:$H$992,1)</f>
        <v/>
      </c>
      <c r="D346" s="5">
        <f>COUNTIFS(检修计划!$E$2:$E$992,"3",检修计划!$F$2:$F$992,"&lt;"&amp;$A346+1,检修计划!$G$2:$G$992,"&gt;"&amp;$A346,检修计划!$H$2:$H$992,1)</f>
        <v/>
      </c>
      <c r="E346" s="5">
        <f>COUNTIFS(检修计划!$E$2:$E$992,"4",检修计划!$F$2:$F$992,"&lt;"&amp;$A346+1,检修计划!$G$2:$G$992,"&gt;"&amp;$A346,检修计划!$H$2:$H$992,1)</f>
        <v/>
      </c>
      <c r="F346" s="5">
        <f>COUNTIFS(检修计划!$E$2:$E$992,"5",检修计划!$F$2:$F$992,"&lt;"&amp;$A346+1,检修计划!$G$2:$G$992,"&gt;"&amp;$A346,检修计划!$H$2:$H$992,1)</f>
        <v/>
      </c>
    </row>
    <row r="347" ht="23" customHeight="1">
      <c r="A347" s="9" t="n">
        <v>45272</v>
      </c>
      <c r="B347" s="5">
        <f>COUNTIFS(检修计划!$E$2:$E$992,"1",检修计划!$F$2:$F$992,"&lt;"&amp;$A347+1,检修计划!$G$2:$G$992,"&gt;"&amp;$A347,检修计划!$H$2:$H$992,1)</f>
        <v/>
      </c>
      <c r="C347" s="5">
        <f>COUNTIFS(检修计划!$E$2:$E$992,"2",检修计划!$F$2:$F$992,"&lt;"&amp;$A347+1,检修计划!$G$2:$G$992,"&gt;"&amp;$A347,检修计划!$H$2:$H$992,1)</f>
        <v/>
      </c>
      <c r="D347" s="5">
        <f>COUNTIFS(检修计划!$E$2:$E$992,"3",检修计划!$F$2:$F$992,"&lt;"&amp;$A347+1,检修计划!$G$2:$G$992,"&gt;"&amp;$A347,检修计划!$H$2:$H$992,1)</f>
        <v/>
      </c>
      <c r="E347" s="5">
        <f>COUNTIFS(检修计划!$E$2:$E$992,"4",检修计划!$F$2:$F$992,"&lt;"&amp;$A347+1,检修计划!$G$2:$G$992,"&gt;"&amp;$A347,检修计划!$H$2:$H$992,1)</f>
        <v/>
      </c>
      <c r="F347" s="5">
        <f>COUNTIFS(检修计划!$E$2:$E$992,"5",检修计划!$F$2:$F$992,"&lt;"&amp;$A347+1,检修计划!$G$2:$G$992,"&gt;"&amp;$A347,检修计划!$H$2:$H$992,1)</f>
        <v/>
      </c>
    </row>
    <row r="348" ht="23" customHeight="1">
      <c r="A348" s="9" t="n">
        <v>45273</v>
      </c>
      <c r="B348" s="5">
        <f>COUNTIFS(检修计划!$E$2:$E$992,"1",检修计划!$F$2:$F$992,"&lt;"&amp;$A348+1,检修计划!$G$2:$G$992,"&gt;"&amp;$A348,检修计划!$H$2:$H$992,1)</f>
        <v/>
      </c>
      <c r="C348" s="5">
        <f>COUNTIFS(检修计划!$E$2:$E$992,"2",检修计划!$F$2:$F$992,"&lt;"&amp;$A348+1,检修计划!$G$2:$G$992,"&gt;"&amp;$A348,检修计划!$H$2:$H$992,1)</f>
        <v/>
      </c>
      <c r="D348" s="5">
        <f>COUNTIFS(检修计划!$E$2:$E$992,"3",检修计划!$F$2:$F$992,"&lt;"&amp;$A348+1,检修计划!$G$2:$G$992,"&gt;"&amp;$A348,检修计划!$H$2:$H$992,1)</f>
        <v/>
      </c>
      <c r="E348" s="5">
        <f>COUNTIFS(检修计划!$E$2:$E$992,"4",检修计划!$F$2:$F$992,"&lt;"&amp;$A348+1,检修计划!$G$2:$G$992,"&gt;"&amp;$A348,检修计划!$H$2:$H$992,1)</f>
        <v/>
      </c>
      <c r="F348" s="5">
        <f>COUNTIFS(检修计划!$E$2:$E$992,"5",检修计划!$F$2:$F$992,"&lt;"&amp;$A348+1,检修计划!$G$2:$G$992,"&gt;"&amp;$A348,检修计划!$H$2:$H$992,1)</f>
        <v/>
      </c>
    </row>
    <row r="349" ht="23" customHeight="1">
      <c r="A349" s="9" t="n">
        <v>45274</v>
      </c>
      <c r="B349" s="5">
        <f>COUNTIFS(检修计划!$E$2:$E$992,"1",检修计划!$F$2:$F$992,"&lt;"&amp;$A349+1,检修计划!$G$2:$G$992,"&gt;"&amp;$A349,检修计划!$H$2:$H$992,1)</f>
        <v/>
      </c>
      <c r="C349" s="5">
        <f>COUNTIFS(检修计划!$E$2:$E$992,"2",检修计划!$F$2:$F$992,"&lt;"&amp;$A349+1,检修计划!$G$2:$G$992,"&gt;"&amp;$A349,检修计划!$H$2:$H$992,1)</f>
        <v/>
      </c>
      <c r="D349" s="5">
        <f>COUNTIFS(检修计划!$E$2:$E$992,"3",检修计划!$F$2:$F$992,"&lt;"&amp;$A349+1,检修计划!$G$2:$G$992,"&gt;"&amp;$A349,检修计划!$H$2:$H$992,1)</f>
        <v/>
      </c>
      <c r="E349" s="5">
        <f>COUNTIFS(检修计划!$E$2:$E$992,"4",检修计划!$F$2:$F$992,"&lt;"&amp;$A349+1,检修计划!$G$2:$G$992,"&gt;"&amp;$A349,检修计划!$H$2:$H$992,1)</f>
        <v/>
      </c>
      <c r="F349" s="5">
        <f>COUNTIFS(检修计划!$E$2:$E$992,"5",检修计划!$F$2:$F$992,"&lt;"&amp;$A349+1,检修计划!$G$2:$G$992,"&gt;"&amp;$A349,检修计划!$H$2:$H$992,1)</f>
        <v/>
      </c>
    </row>
    <row r="350" ht="23" customHeight="1">
      <c r="A350" s="9" t="n">
        <v>45275</v>
      </c>
      <c r="B350" s="5">
        <f>COUNTIFS(检修计划!$E$2:$E$992,"1",检修计划!$F$2:$F$992,"&lt;"&amp;$A350+1,检修计划!$G$2:$G$992,"&gt;"&amp;$A350,检修计划!$H$2:$H$992,1)</f>
        <v/>
      </c>
      <c r="C350" s="5">
        <f>COUNTIFS(检修计划!$E$2:$E$992,"2",检修计划!$F$2:$F$992,"&lt;"&amp;$A350+1,检修计划!$G$2:$G$992,"&gt;"&amp;$A350,检修计划!$H$2:$H$992,1)</f>
        <v/>
      </c>
      <c r="D350" s="5">
        <f>COUNTIFS(检修计划!$E$2:$E$992,"3",检修计划!$F$2:$F$992,"&lt;"&amp;$A350+1,检修计划!$G$2:$G$992,"&gt;"&amp;$A350,检修计划!$H$2:$H$992,1)</f>
        <v/>
      </c>
      <c r="E350" s="5">
        <f>COUNTIFS(检修计划!$E$2:$E$992,"4",检修计划!$F$2:$F$992,"&lt;"&amp;$A350+1,检修计划!$G$2:$G$992,"&gt;"&amp;$A350,检修计划!$H$2:$H$992,1)</f>
        <v/>
      </c>
      <c r="F350" s="5">
        <f>COUNTIFS(检修计划!$E$2:$E$992,"5",检修计划!$F$2:$F$992,"&lt;"&amp;$A350+1,检修计划!$G$2:$G$992,"&gt;"&amp;$A350,检修计划!$H$2:$H$992,1)</f>
        <v/>
      </c>
    </row>
    <row r="351" ht="23" customHeight="1">
      <c r="A351" s="9" t="n">
        <v>45276</v>
      </c>
      <c r="B351" s="5">
        <f>COUNTIFS(检修计划!$E$2:$E$992,"1",检修计划!$F$2:$F$992,"&lt;"&amp;$A351+1,检修计划!$G$2:$G$992,"&gt;"&amp;$A351,检修计划!$H$2:$H$992,1)</f>
        <v/>
      </c>
      <c r="C351" s="5">
        <f>COUNTIFS(检修计划!$E$2:$E$992,"2",检修计划!$F$2:$F$992,"&lt;"&amp;$A351+1,检修计划!$G$2:$G$992,"&gt;"&amp;$A351,检修计划!$H$2:$H$992,1)</f>
        <v/>
      </c>
      <c r="D351" s="5">
        <f>COUNTIFS(检修计划!$E$2:$E$992,"3",检修计划!$F$2:$F$992,"&lt;"&amp;$A351+1,检修计划!$G$2:$G$992,"&gt;"&amp;$A351,检修计划!$H$2:$H$992,1)</f>
        <v/>
      </c>
      <c r="E351" s="5">
        <f>COUNTIFS(检修计划!$E$2:$E$992,"4",检修计划!$F$2:$F$992,"&lt;"&amp;$A351+1,检修计划!$G$2:$G$992,"&gt;"&amp;$A351,检修计划!$H$2:$H$992,1)</f>
        <v/>
      </c>
      <c r="F351" s="5">
        <f>COUNTIFS(检修计划!$E$2:$E$992,"5",检修计划!$F$2:$F$992,"&lt;"&amp;$A351+1,检修计划!$G$2:$G$992,"&gt;"&amp;$A351,检修计划!$H$2:$H$992,1)</f>
        <v/>
      </c>
    </row>
    <row r="352" ht="23" customHeight="1">
      <c r="A352" s="9" t="n">
        <v>45277</v>
      </c>
      <c r="B352" s="5">
        <f>COUNTIFS(检修计划!$E$2:$E$992,"1",检修计划!$F$2:$F$992,"&lt;"&amp;$A352+1,检修计划!$G$2:$G$992,"&gt;"&amp;$A352,检修计划!$H$2:$H$992,1)</f>
        <v/>
      </c>
      <c r="C352" s="5">
        <f>COUNTIFS(检修计划!$E$2:$E$992,"2",检修计划!$F$2:$F$992,"&lt;"&amp;$A352+1,检修计划!$G$2:$G$992,"&gt;"&amp;$A352,检修计划!$H$2:$H$992,1)</f>
        <v/>
      </c>
      <c r="D352" s="5">
        <f>COUNTIFS(检修计划!$E$2:$E$992,"3",检修计划!$F$2:$F$992,"&lt;"&amp;$A352+1,检修计划!$G$2:$G$992,"&gt;"&amp;$A352,检修计划!$H$2:$H$992,1)</f>
        <v/>
      </c>
      <c r="E352" s="5">
        <f>COUNTIFS(检修计划!$E$2:$E$992,"4",检修计划!$F$2:$F$992,"&lt;"&amp;$A352+1,检修计划!$G$2:$G$992,"&gt;"&amp;$A352,检修计划!$H$2:$H$992,1)</f>
        <v/>
      </c>
      <c r="F352" s="5">
        <f>COUNTIFS(检修计划!$E$2:$E$992,"5",检修计划!$F$2:$F$992,"&lt;"&amp;$A352+1,检修计划!$G$2:$G$992,"&gt;"&amp;$A352,检修计划!$H$2:$H$992,1)</f>
        <v/>
      </c>
    </row>
    <row r="353" ht="23" customHeight="1">
      <c r="A353" s="9" t="n">
        <v>45278</v>
      </c>
      <c r="B353" s="5">
        <f>COUNTIFS(检修计划!$E$2:$E$992,"1",检修计划!$F$2:$F$992,"&lt;"&amp;$A353+1,检修计划!$G$2:$G$992,"&gt;"&amp;$A353,检修计划!$H$2:$H$992,1)</f>
        <v/>
      </c>
      <c r="C353" s="5">
        <f>COUNTIFS(检修计划!$E$2:$E$992,"2",检修计划!$F$2:$F$992,"&lt;"&amp;$A353+1,检修计划!$G$2:$G$992,"&gt;"&amp;$A353,检修计划!$H$2:$H$992,1)</f>
        <v/>
      </c>
      <c r="D353" s="5">
        <f>COUNTIFS(检修计划!$E$2:$E$992,"3",检修计划!$F$2:$F$992,"&lt;"&amp;$A353+1,检修计划!$G$2:$G$992,"&gt;"&amp;$A353,检修计划!$H$2:$H$992,1)</f>
        <v/>
      </c>
      <c r="E353" s="5">
        <f>COUNTIFS(检修计划!$E$2:$E$992,"4",检修计划!$F$2:$F$992,"&lt;"&amp;$A353+1,检修计划!$G$2:$G$992,"&gt;"&amp;$A353,检修计划!$H$2:$H$992,1)</f>
        <v/>
      </c>
      <c r="F353" s="5">
        <f>COUNTIFS(检修计划!$E$2:$E$992,"5",检修计划!$F$2:$F$992,"&lt;"&amp;$A353+1,检修计划!$G$2:$G$992,"&gt;"&amp;$A353,检修计划!$H$2:$H$992,1)</f>
        <v/>
      </c>
    </row>
    <row r="354" ht="23" customHeight="1">
      <c r="A354" s="9" t="n">
        <v>45279</v>
      </c>
      <c r="B354" s="5">
        <f>COUNTIFS(检修计划!$E$2:$E$992,"1",检修计划!$F$2:$F$992,"&lt;"&amp;$A354+1,检修计划!$G$2:$G$992,"&gt;"&amp;$A354,检修计划!$H$2:$H$992,1)</f>
        <v/>
      </c>
      <c r="C354" s="5">
        <f>COUNTIFS(检修计划!$E$2:$E$992,"2",检修计划!$F$2:$F$992,"&lt;"&amp;$A354+1,检修计划!$G$2:$G$992,"&gt;"&amp;$A354,检修计划!$H$2:$H$992,1)</f>
        <v/>
      </c>
      <c r="D354" s="5">
        <f>COUNTIFS(检修计划!$E$2:$E$992,"3",检修计划!$F$2:$F$992,"&lt;"&amp;$A354+1,检修计划!$G$2:$G$992,"&gt;"&amp;$A354,检修计划!$H$2:$H$992,1)</f>
        <v/>
      </c>
      <c r="E354" s="5">
        <f>COUNTIFS(检修计划!$E$2:$E$992,"4",检修计划!$F$2:$F$992,"&lt;"&amp;$A354+1,检修计划!$G$2:$G$992,"&gt;"&amp;$A354,检修计划!$H$2:$H$992,1)</f>
        <v/>
      </c>
      <c r="F354" s="5">
        <f>COUNTIFS(检修计划!$E$2:$E$992,"5",检修计划!$F$2:$F$992,"&lt;"&amp;$A354+1,检修计划!$G$2:$G$992,"&gt;"&amp;$A354,检修计划!$H$2:$H$992,1)</f>
        <v/>
      </c>
    </row>
    <row r="355" ht="23" customHeight="1">
      <c r="A355" s="9" t="n">
        <v>45280</v>
      </c>
      <c r="B355" s="5">
        <f>COUNTIFS(检修计划!$E$2:$E$992,"1",检修计划!$F$2:$F$992,"&lt;"&amp;$A355+1,检修计划!$G$2:$G$992,"&gt;"&amp;$A355,检修计划!$H$2:$H$992,1)</f>
        <v/>
      </c>
      <c r="C355" s="5">
        <f>COUNTIFS(检修计划!$E$2:$E$992,"2",检修计划!$F$2:$F$992,"&lt;"&amp;$A355+1,检修计划!$G$2:$G$992,"&gt;"&amp;$A355,检修计划!$H$2:$H$992,1)</f>
        <v/>
      </c>
      <c r="D355" s="5">
        <f>COUNTIFS(检修计划!$E$2:$E$992,"3",检修计划!$F$2:$F$992,"&lt;"&amp;$A355+1,检修计划!$G$2:$G$992,"&gt;"&amp;$A355,检修计划!$H$2:$H$992,1)</f>
        <v/>
      </c>
      <c r="E355" s="5">
        <f>COUNTIFS(检修计划!$E$2:$E$992,"4",检修计划!$F$2:$F$992,"&lt;"&amp;$A355+1,检修计划!$G$2:$G$992,"&gt;"&amp;$A355,检修计划!$H$2:$H$992,1)</f>
        <v/>
      </c>
      <c r="F355" s="5">
        <f>COUNTIFS(检修计划!$E$2:$E$992,"5",检修计划!$F$2:$F$992,"&lt;"&amp;$A355+1,检修计划!$G$2:$G$992,"&gt;"&amp;$A355,检修计划!$H$2:$H$992,1)</f>
        <v/>
      </c>
    </row>
    <row r="356" ht="23" customHeight="1">
      <c r="A356" s="9" t="n">
        <v>45281</v>
      </c>
      <c r="B356" s="5">
        <f>COUNTIFS(检修计划!$E$2:$E$992,"1",检修计划!$F$2:$F$992,"&lt;"&amp;$A356+1,检修计划!$G$2:$G$992,"&gt;"&amp;$A356,检修计划!$H$2:$H$992,1)</f>
        <v/>
      </c>
      <c r="C356" s="5">
        <f>COUNTIFS(检修计划!$E$2:$E$992,"2",检修计划!$F$2:$F$992,"&lt;"&amp;$A356+1,检修计划!$G$2:$G$992,"&gt;"&amp;$A356,检修计划!$H$2:$H$992,1)</f>
        <v/>
      </c>
      <c r="D356" s="5">
        <f>COUNTIFS(检修计划!$E$2:$E$992,"3",检修计划!$F$2:$F$992,"&lt;"&amp;$A356+1,检修计划!$G$2:$G$992,"&gt;"&amp;$A356,检修计划!$H$2:$H$992,1)</f>
        <v/>
      </c>
      <c r="E356" s="5">
        <f>COUNTIFS(检修计划!$E$2:$E$992,"4",检修计划!$F$2:$F$992,"&lt;"&amp;$A356+1,检修计划!$G$2:$G$992,"&gt;"&amp;$A356,检修计划!$H$2:$H$992,1)</f>
        <v/>
      </c>
      <c r="F356" s="5">
        <f>COUNTIFS(检修计划!$E$2:$E$992,"5",检修计划!$F$2:$F$992,"&lt;"&amp;$A356+1,检修计划!$G$2:$G$992,"&gt;"&amp;$A356,检修计划!$H$2:$H$992,1)</f>
        <v/>
      </c>
    </row>
    <row r="357" ht="23" customHeight="1">
      <c r="A357" s="9" t="n">
        <v>45282</v>
      </c>
      <c r="B357" s="5">
        <f>COUNTIFS(检修计划!$E$2:$E$992,"1",检修计划!$F$2:$F$992,"&lt;"&amp;$A357+1,检修计划!$G$2:$G$992,"&gt;"&amp;$A357,检修计划!$H$2:$H$992,1)</f>
        <v/>
      </c>
      <c r="C357" s="5">
        <f>COUNTIFS(检修计划!$E$2:$E$992,"2",检修计划!$F$2:$F$992,"&lt;"&amp;$A357+1,检修计划!$G$2:$G$992,"&gt;"&amp;$A357,检修计划!$H$2:$H$992,1)</f>
        <v/>
      </c>
      <c r="D357" s="5">
        <f>COUNTIFS(检修计划!$E$2:$E$992,"3",检修计划!$F$2:$F$992,"&lt;"&amp;$A357+1,检修计划!$G$2:$G$992,"&gt;"&amp;$A357,检修计划!$H$2:$H$992,1)</f>
        <v/>
      </c>
      <c r="E357" s="5">
        <f>COUNTIFS(检修计划!$E$2:$E$992,"4",检修计划!$F$2:$F$992,"&lt;"&amp;$A357+1,检修计划!$G$2:$G$992,"&gt;"&amp;$A357,检修计划!$H$2:$H$992,1)</f>
        <v/>
      </c>
      <c r="F357" s="5">
        <f>COUNTIFS(检修计划!$E$2:$E$992,"5",检修计划!$F$2:$F$992,"&lt;"&amp;$A357+1,检修计划!$G$2:$G$992,"&gt;"&amp;$A357,检修计划!$H$2:$H$992,1)</f>
        <v/>
      </c>
    </row>
    <row r="358" ht="23" customHeight="1">
      <c r="A358" s="9" t="n">
        <v>45283</v>
      </c>
      <c r="B358" s="5">
        <f>COUNTIFS(检修计划!$E$2:$E$992,"1",检修计划!$F$2:$F$992,"&lt;"&amp;$A358+1,检修计划!$G$2:$G$992,"&gt;"&amp;$A358,检修计划!$H$2:$H$992,1)</f>
        <v/>
      </c>
      <c r="C358" s="5">
        <f>COUNTIFS(检修计划!$E$2:$E$992,"2",检修计划!$F$2:$F$992,"&lt;"&amp;$A358+1,检修计划!$G$2:$G$992,"&gt;"&amp;$A358,检修计划!$H$2:$H$992,1)</f>
        <v/>
      </c>
      <c r="D358" s="5">
        <f>COUNTIFS(检修计划!$E$2:$E$992,"3",检修计划!$F$2:$F$992,"&lt;"&amp;$A358+1,检修计划!$G$2:$G$992,"&gt;"&amp;$A358,检修计划!$H$2:$H$992,1)</f>
        <v/>
      </c>
      <c r="E358" s="5">
        <f>COUNTIFS(检修计划!$E$2:$E$992,"4",检修计划!$F$2:$F$992,"&lt;"&amp;$A358+1,检修计划!$G$2:$G$992,"&gt;"&amp;$A358,检修计划!$H$2:$H$992,1)</f>
        <v/>
      </c>
      <c r="F358" s="5">
        <f>COUNTIFS(检修计划!$E$2:$E$992,"5",检修计划!$F$2:$F$992,"&lt;"&amp;$A358+1,检修计划!$G$2:$G$992,"&gt;"&amp;$A358,检修计划!$H$2:$H$992,1)</f>
        <v/>
      </c>
    </row>
    <row r="359" ht="23" customHeight="1">
      <c r="A359" s="9" t="n">
        <v>45284</v>
      </c>
      <c r="B359" s="5">
        <f>COUNTIFS(检修计划!$E$2:$E$992,"1",检修计划!$F$2:$F$992,"&lt;"&amp;$A359+1,检修计划!$G$2:$G$992,"&gt;"&amp;$A359,检修计划!$H$2:$H$992,1)</f>
        <v/>
      </c>
      <c r="C359" s="5">
        <f>COUNTIFS(检修计划!$E$2:$E$992,"2",检修计划!$F$2:$F$992,"&lt;"&amp;$A359+1,检修计划!$G$2:$G$992,"&gt;"&amp;$A359,检修计划!$H$2:$H$992,1)</f>
        <v/>
      </c>
      <c r="D359" s="5">
        <f>COUNTIFS(检修计划!$E$2:$E$992,"3",检修计划!$F$2:$F$992,"&lt;"&amp;$A359+1,检修计划!$G$2:$G$992,"&gt;"&amp;$A359,检修计划!$H$2:$H$992,1)</f>
        <v/>
      </c>
      <c r="E359" s="5">
        <f>COUNTIFS(检修计划!$E$2:$E$992,"4",检修计划!$F$2:$F$992,"&lt;"&amp;$A359+1,检修计划!$G$2:$G$992,"&gt;"&amp;$A359,检修计划!$H$2:$H$992,1)</f>
        <v/>
      </c>
      <c r="F359" s="5">
        <f>COUNTIFS(检修计划!$E$2:$E$992,"5",检修计划!$F$2:$F$992,"&lt;"&amp;$A359+1,检修计划!$G$2:$G$992,"&gt;"&amp;$A359,检修计划!$H$2:$H$992,1)</f>
        <v/>
      </c>
    </row>
    <row r="360" ht="23" customHeight="1">
      <c r="A360" s="9" t="n">
        <v>45285</v>
      </c>
      <c r="B360" s="5">
        <f>COUNTIFS(检修计划!$E$2:$E$992,"1",检修计划!$F$2:$F$992,"&lt;"&amp;$A360+1,检修计划!$G$2:$G$992,"&gt;"&amp;$A360,检修计划!$H$2:$H$992,1)</f>
        <v/>
      </c>
      <c r="C360" s="5">
        <f>COUNTIFS(检修计划!$E$2:$E$992,"2",检修计划!$F$2:$F$992,"&lt;"&amp;$A360+1,检修计划!$G$2:$G$992,"&gt;"&amp;$A360,检修计划!$H$2:$H$992,1)</f>
        <v/>
      </c>
      <c r="D360" s="5">
        <f>COUNTIFS(检修计划!$E$2:$E$992,"3",检修计划!$F$2:$F$992,"&lt;"&amp;$A360+1,检修计划!$G$2:$G$992,"&gt;"&amp;$A360,检修计划!$H$2:$H$992,1)</f>
        <v/>
      </c>
      <c r="E360" s="5">
        <f>COUNTIFS(检修计划!$E$2:$E$992,"4",检修计划!$F$2:$F$992,"&lt;"&amp;$A360+1,检修计划!$G$2:$G$992,"&gt;"&amp;$A360,检修计划!$H$2:$H$992,1)</f>
        <v/>
      </c>
      <c r="F360" s="5">
        <f>COUNTIFS(检修计划!$E$2:$E$992,"5",检修计划!$F$2:$F$992,"&lt;"&amp;$A360+1,检修计划!$G$2:$G$992,"&gt;"&amp;$A360,检修计划!$H$2:$H$992,1)</f>
        <v/>
      </c>
    </row>
    <row r="361" ht="23" customHeight="1">
      <c r="A361" s="9" t="n">
        <v>45286</v>
      </c>
      <c r="B361" s="5">
        <f>COUNTIFS(检修计划!$E$2:$E$992,"1",检修计划!$F$2:$F$992,"&lt;"&amp;$A361+1,检修计划!$G$2:$G$992,"&gt;"&amp;$A361,检修计划!$H$2:$H$992,1)</f>
        <v/>
      </c>
      <c r="C361" s="5">
        <f>COUNTIFS(检修计划!$E$2:$E$992,"2",检修计划!$F$2:$F$992,"&lt;"&amp;$A361+1,检修计划!$G$2:$G$992,"&gt;"&amp;$A361,检修计划!$H$2:$H$992,1)</f>
        <v/>
      </c>
      <c r="D361" s="5">
        <f>COUNTIFS(检修计划!$E$2:$E$992,"3",检修计划!$F$2:$F$992,"&lt;"&amp;$A361+1,检修计划!$G$2:$G$992,"&gt;"&amp;$A361,检修计划!$H$2:$H$992,1)</f>
        <v/>
      </c>
      <c r="E361" s="5">
        <f>COUNTIFS(检修计划!$E$2:$E$992,"4",检修计划!$F$2:$F$992,"&lt;"&amp;$A361+1,检修计划!$G$2:$G$992,"&gt;"&amp;$A361,检修计划!$H$2:$H$992,1)</f>
        <v/>
      </c>
      <c r="F361" s="5">
        <f>COUNTIFS(检修计划!$E$2:$E$992,"5",检修计划!$F$2:$F$992,"&lt;"&amp;$A361+1,检修计划!$G$2:$G$992,"&gt;"&amp;$A361,检修计划!$H$2:$H$992,1)</f>
        <v/>
      </c>
    </row>
    <row r="362" ht="23" customHeight="1">
      <c r="A362" s="9" t="n">
        <v>45287</v>
      </c>
      <c r="B362" s="5">
        <f>COUNTIFS(检修计划!$E$2:$E$992,"1",检修计划!$F$2:$F$992,"&lt;"&amp;$A362+1,检修计划!$G$2:$G$992,"&gt;"&amp;$A362,检修计划!$H$2:$H$992,1)</f>
        <v/>
      </c>
      <c r="C362" s="5">
        <f>COUNTIFS(检修计划!$E$2:$E$992,"2",检修计划!$F$2:$F$992,"&lt;"&amp;$A362+1,检修计划!$G$2:$G$992,"&gt;"&amp;$A362,检修计划!$H$2:$H$992,1)</f>
        <v/>
      </c>
      <c r="D362" s="5">
        <f>COUNTIFS(检修计划!$E$2:$E$992,"3",检修计划!$F$2:$F$992,"&lt;"&amp;$A362+1,检修计划!$G$2:$G$992,"&gt;"&amp;$A362,检修计划!$H$2:$H$992,1)</f>
        <v/>
      </c>
      <c r="E362" s="5">
        <f>COUNTIFS(检修计划!$E$2:$E$992,"4",检修计划!$F$2:$F$992,"&lt;"&amp;$A362+1,检修计划!$G$2:$G$992,"&gt;"&amp;$A362,检修计划!$H$2:$H$992,1)</f>
        <v/>
      </c>
      <c r="F362" s="5">
        <f>COUNTIFS(检修计划!$E$2:$E$992,"5",检修计划!$F$2:$F$992,"&lt;"&amp;$A362+1,检修计划!$G$2:$G$992,"&gt;"&amp;$A362,检修计划!$H$2:$H$992,1)</f>
        <v/>
      </c>
    </row>
    <row r="363" ht="23" customHeight="1">
      <c r="A363" s="9" t="n">
        <v>45288</v>
      </c>
      <c r="B363" s="5">
        <f>COUNTIFS(检修计划!$E$2:$E$992,"1",检修计划!$F$2:$F$992,"&lt;"&amp;$A363+1,检修计划!$G$2:$G$992,"&gt;"&amp;$A363,检修计划!$H$2:$H$992,1)</f>
        <v/>
      </c>
      <c r="C363" s="5">
        <f>COUNTIFS(检修计划!$E$2:$E$992,"2",检修计划!$F$2:$F$992,"&lt;"&amp;$A363+1,检修计划!$G$2:$G$992,"&gt;"&amp;$A363,检修计划!$H$2:$H$992,1)</f>
        <v/>
      </c>
      <c r="D363" s="5">
        <f>COUNTIFS(检修计划!$E$2:$E$992,"3",检修计划!$F$2:$F$992,"&lt;"&amp;$A363+1,检修计划!$G$2:$G$992,"&gt;"&amp;$A363,检修计划!$H$2:$H$992,1)</f>
        <v/>
      </c>
      <c r="E363" s="5">
        <f>COUNTIFS(检修计划!$E$2:$E$992,"4",检修计划!$F$2:$F$992,"&lt;"&amp;$A363+1,检修计划!$G$2:$G$992,"&gt;"&amp;$A363,检修计划!$H$2:$H$992,1)</f>
        <v/>
      </c>
      <c r="F363" s="5">
        <f>COUNTIFS(检修计划!$E$2:$E$992,"5",检修计划!$F$2:$F$992,"&lt;"&amp;$A363+1,检修计划!$G$2:$G$992,"&gt;"&amp;$A363,检修计划!$H$2:$H$992,1)</f>
        <v/>
      </c>
    </row>
    <row r="364" ht="23" customHeight="1">
      <c r="A364" s="9" t="n">
        <v>45289</v>
      </c>
      <c r="B364" s="5">
        <f>COUNTIFS(检修计划!$E$2:$E$992,"1",检修计划!$F$2:$F$992,"&lt;"&amp;$A364+1,检修计划!$G$2:$G$992,"&gt;"&amp;$A364,检修计划!$H$2:$H$992,1)</f>
        <v/>
      </c>
      <c r="C364" s="5">
        <f>COUNTIFS(检修计划!$E$2:$E$992,"2",检修计划!$F$2:$F$992,"&lt;"&amp;$A364+1,检修计划!$G$2:$G$992,"&gt;"&amp;$A364,检修计划!$H$2:$H$992,1)</f>
        <v/>
      </c>
      <c r="D364" s="5">
        <f>COUNTIFS(检修计划!$E$2:$E$992,"3",检修计划!$F$2:$F$992,"&lt;"&amp;$A364+1,检修计划!$G$2:$G$992,"&gt;"&amp;$A364,检修计划!$H$2:$H$992,1)</f>
        <v/>
      </c>
      <c r="E364" s="5">
        <f>COUNTIFS(检修计划!$E$2:$E$992,"4",检修计划!$F$2:$F$992,"&lt;"&amp;$A364+1,检修计划!$G$2:$G$992,"&gt;"&amp;$A364,检修计划!$H$2:$H$992,1)</f>
        <v/>
      </c>
      <c r="F364" s="5">
        <f>COUNTIFS(检修计划!$E$2:$E$992,"5",检修计划!$F$2:$F$992,"&lt;"&amp;$A364+1,检修计划!$G$2:$G$992,"&gt;"&amp;$A364,检修计划!$H$2:$H$992,1)</f>
        <v/>
      </c>
    </row>
    <row r="365" ht="23" customHeight="1">
      <c r="A365" s="9" t="n">
        <v>45290</v>
      </c>
      <c r="B365" s="5">
        <f>COUNTIFS(检修计划!$E$2:$E$992,"1",检修计划!$F$2:$F$992,"&lt;"&amp;$A365+1,检修计划!$G$2:$G$992,"&gt;"&amp;$A365,检修计划!$H$2:$H$992,1)</f>
        <v/>
      </c>
      <c r="C365" s="5">
        <f>COUNTIFS(检修计划!$E$2:$E$992,"2",检修计划!$F$2:$F$992,"&lt;"&amp;$A365+1,检修计划!$G$2:$G$992,"&gt;"&amp;$A365,检修计划!$H$2:$H$992,1)</f>
        <v/>
      </c>
      <c r="D365" s="5">
        <f>COUNTIFS(检修计划!$E$2:$E$992,"3",检修计划!$F$2:$F$992,"&lt;"&amp;$A365+1,检修计划!$G$2:$G$992,"&gt;"&amp;$A365,检修计划!$H$2:$H$992,1)</f>
        <v/>
      </c>
      <c r="E365" s="5">
        <f>COUNTIFS(检修计划!$E$2:$E$992,"4",检修计划!$F$2:$F$992,"&lt;"&amp;$A365+1,检修计划!$G$2:$G$992,"&gt;"&amp;$A365,检修计划!$H$2:$H$992,1)</f>
        <v/>
      </c>
      <c r="F365" s="5">
        <f>COUNTIFS(检修计划!$E$2:$E$992,"5",检修计划!$F$2:$F$992,"&lt;"&amp;$A365+1,检修计划!$G$2:$G$992,"&gt;"&amp;$A365,检修计划!$H$2:$H$992,1)</f>
        <v/>
      </c>
    </row>
    <row r="366" ht="23" customHeight="1">
      <c r="A366" s="9" t="n">
        <v>45291</v>
      </c>
      <c r="B366" s="5">
        <f>COUNTIFS(检修计划!$E$2:$E$992,"1",检修计划!$F$2:$F$992,"&lt;"&amp;$A366+1,检修计划!$G$2:$G$992,"&gt;"&amp;$A366,检修计划!$H$2:$H$992,1)</f>
        <v/>
      </c>
      <c r="C366" s="5">
        <f>COUNTIFS(检修计划!$E$2:$E$992,"2",检修计划!$F$2:$F$992,"&lt;"&amp;$A366+1,检修计划!$G$2:$G$992,"&gt;"&amp;$A366,检修计划!$H$2:$H$992,1)</f>
        <v/>
      </c>
      <c r="D366" s="5">
        <f>COUNTIFS(检修计划!$E$2:$E$992,"3",检修计划!$F$2:$F$992,"&lt;"&amp;$A366+1,检修计划!$G$2:$G$992,"&gt;"&amp;$A366,检修计划!$H$2:$H$992,1)</f>
        <v/>
      </c>
      <c r="E366" s="5">
        <f>COUNTIFS(检修计划!$E$2:$E$992,"4",检修计划!$F$2:$F$992,"&lt;"&amp;$A366+1,检修计划!$G$2:$G$992,"&gt;"&amp;$A366,检修计划!$H$2:$H$992,1)</f>
        <v/>
      </c>
      <c r="F366" s="5">
        <f>COUNTIFS(检修计划!$E$2:$E$992,"5",检修计划!$F$2:$F$992,"&lt;"&amp;$A366+1,检修计划!$G$2:$G$992,"&gt;"&amp;$A366,检修计划!$H$2:$H$992,1)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9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C2" sqref="C2"/>
    </sheetView>
  </sheetViews>
  <sheetFormatPr baseColWidth="8" defaultColWidth="9" defaultRowHeight="14.25"/>
  <cols>
    <col width="24" customWidth="1" min="1" max="4"/>
    <col width="46" customWidth="1" min="5" max="5"/>
    <col width="24" customWidth="1" min="6" max="6"/>
    <col width="68" customWidth="1" min="7" max="7"/>
    <col width="24" customWidth="1" min="8" max="8"/>
    <col width="58" customWidth="1" min="9" max="9"/>
  </cols>
  <sheetData>
    <row r="1" ht="46" customHeight="1">
      <c r="A1" s="1" t="inlineStr">
        <is>
          <t>设备类型</t>
        </is>
      </c>
      <c r="B1" s="1" t="inlineStr">
        <is>
          <t>字段名</t>
        </is>
      </c>
      <c r="C1" s="1" t="inlineStr">
        <is>
          <t>中文含义</t>
        </is>
      </c>
      <c r="D1" s="1" t="inlineStr">
        <is>
          <t>单位</t>
        </is>
      </c>
      <c r="E1" s="1" t="inlineStr">
        <is>
          <t>填写说明</t>
        </is>
      </c>
      <c r="F1" s="1" t="inlineStr">
        <is>
          <t>数据来源</t>
        </is>
      </c>
      <c r="G1" s="3" t="inlineStr">
        <is>
          <t>本次取值与口径</t>
        </is>
      </c>
      <c r="H1" s="3" t="inlineStr">
        <is>
          <t>资料年份</t>
        </is>
      </c>
      <c r="I1" s="3" t="inlineStr">
        <is>
          <t>来源或依据</t>
        </is>
      </c>
    </row>
    <row r="2" ht="66" customHeight="1">
      <c r="A2" s="2" t="inlineStr">
        <is>
          <t>煤电</t>
        </is>
      </c>
      <c r="B2" s="2" t="inlineStr">
        <is>
          <t>UnitKey</t>
        </is>
      </c>
      <c r="C2" s="2" t="inlineStr">
        <is>
          <t>机组唯一编号</t>
        </is>
      </c>
      <c r="D2" s="2" t="inlineStr">
        <is>
          <t>文本</t>
        </is>
      </c>
      <c r="E2" s="2" t="inlineStr">
        <is>
          <t>创建后固定，不随排序改变；新增机组用新编号</t>
        </is>
      </c>
      <c r="F2" s="2" t="inlineStr">
        <is>
          <t>新增稳定编号</t>
        </is>
      </c>
      <c r="G2" s="2" t="inlineStr">
        <is>
          <t>原有内容保留</t>
        </is>
      </c>
      <c r="H2" s="2" t="n"/>
      <c r="I2" s="2" t="n"/>
    </row>
    <row r="3" ht="66" customHeight="1">
      <c r="A3" s="2" t="inlineStr">
        <is>
          <t>煤电</t>
        </is>
      </c>
      <c r="B3" s="2" t="inlineStr">
        <is>
          <t>ID</t>
        </is>
      </c>
      <c r="C3" s="2" t="inlineStr">
        <is>
          <t>原始数据库编号</t>
        </is>
      </c>
      <c r="D3" s="2" t="inlineStr">
        <is>
          <t>原值</t>
        </is>
      </c>
      <c r="E3" s="2" t="inlineStr">
        <is>
          <t>原Excel超长数字已可能失真，不用作关联键</t>
        </is>
      </c>
      <c r="F3" s="2" t="inlineStr">
        <is>
          <t>原表/说明</t>
        </is>
      </c>
      <c r="G3" s="2" t="inlineStr">
        <is>
          <t>原有内容保留</t>
        </is>
      </c>
      <c r="H3" s="2" t="n"/>
      <c r="I3" s="2" t="n"/>
    </row>
    <row r="4" ht="66" customHeight="1">
      <c r="A4" s="2" t="inlineStr">
        <is>
          <t>煤电</t>
        </is>
      </c>
      <c r="B4" s="2" t="inlineStr">
        <is>
          <t>NAME</t>
        </is>
      </c>
      <c r="C4" s="2" t="inlineStr">
        <is>
          <t>机组名称</t>
        </is>
      </c>
      <c r="D4" s="2" t="inlineStr">
        <is>
          <t>文本</t>
        </is>
      </c>
      <c r="E4" s="2" t="inlineStr">
        <is>
          <t>保留源表</t>
        </is>
      </c>
      <c r="F4" s="2" t="inlineStr">
        <is>
          <t>原表/说明</t>
        </is>
      </c>
      <c r="G4" s="2" t="inlineStr">
        <is>
          <t>原有内容保留</t>
        </is>
      </c>
      <c r="H4" s="2" t="n"/>
      <c r="I4" s="2" t="n"/>
    </row>
    <row r="5" ht="66" customHeight="1">
      <c r="A5" s="2" t="inlineStr">
        <is>
          <t>煤电</t>
        </is>
      </c>
      <c r="B5" s="2" t="inlineStr">
        <is>
          <t>SUBSTR(C.ID，12)</t>
        </is>
      </c>
      <c r="C5" s="2" t="inlineStr">
        <is>
          <t>分区编号</t>
        </is>
      </c>
      <c r="D5" s="2" t="inlineStr">
        <is>
          <t>编号</t>
        </is>
      </c>
      <c r="E5" s="2" t="inlineStr">
        <is>
          <t>与分区表对应</t>
        </is>
      </c>
      <c r="F5" s="2" t="inlineStr">
        <is>
          <t>原表/说明</t>
        </is>
      </c>
      <c r="G5" s="2" t="inlineStr">
        <is>
          <t>原有内容保留</t>
        </is>
      </c>
      <c r="H5" s="2" t="n"/>
      <c r="I5" s="2" t="n"/>
    </row>
    <row r="6" ht="66" customHeight="1">
      <c r="A6" s="2" t="inlineStr">
        <is>
          <t>煤电</t>
        </is>
      </c>
      <c r="B6" s="2" t="inlineStr">
        <is>
          <t>PLANT_ID</t>
        </is>
      </c>
      <c r="C6" s="2" t="inlineStr">
        <is>
          <t>原电厂编号</t>
        </is>
      </c>
      <c r="D6" s="2" t="inlineStr">
        <is>
          <t>原值</t>
        </is>
      </c>
      <c r="E6" s="2" t="inlineStr">
        <is>
          <t>保留源表</t>
        </is>
      </c>
      <c r="F6" s="2" t="inlineStr">
        <is>
          <t>原表/说明</t>
        </is>
      </c>
      <c r="G6" s="2" t="inlineStr">
        <is>
          <t>原有内容保留</t>
        </is>
      </c>
      <c r="H6" s="2" t="n"/>
      <c r="I6" s="2" t="n"/>
    </row>
    <row r="7" ht="66" customHeight="1">
      <c r="A7" s="2" t="inlineStr">
        <is>
          <t>煤电</t>
        </is>
      </c>
      <c r="B7" s="2" t="inlineStr">
        <is>
          <t>CAP</t>
        </is>
      </c>
      <c r="C7" s="2" t="inlineStr">
        <is>
          <t>额定容量</t>
        </is>
      </c>
      <c r="D7" s="2" t="inlineStr">
        <is>
          <t>MW</t>
        </is>
      </c>
      <c r="E7" s="2" t="inlineStr">
        <is>
          <t>源表</t>
        </is>
      </c>
      <c r="F7" s="2" t="inlineStr">
        <is>
          <t>原表/说明</t>
        </is>
      </c>
      <c r="G7" s="2" t="inlineStr">
        <is>
          <t>原有内容保留</t>
        </is>
      </c>
      <c r="H7" s="2" t="n"/>
      <c r="I7" s="2" t="n"/>
    </row>
    <row r="8" ht="66" customHeight="1">
      <c r="A8" s="2" t="inlineStr">
        <is>
          <t>煤电</t>
        </is>
      </c>
      <c r="B8" s="2" t="inlineStr">
        <is>
          <t>MIN_POWER_GEN</t>
        </is>
      </c>
      <c r="C8" s="2" t="inlineStr">
        <is>
          <t>最小技术出力</t>
        </is>
      </c>
      <c r="D8" s="2" t="inlineStr">
        <is>
          <t>MW</t>
        </is>
      </c>
      <c r="E8" s="2" t="inlineStr">
        <is>
          <t>抽蓄原字段为带符号值，不作为抽水下限</t>
        </is>
      </c>
      <c r="F8" s="2" t="inlineStr">
        <is>
          <t>原表/说明</t>
        </is>
      </c>
      <c r="G8" s="2" t="inlineStr">
        <is>
          <t>原有内容保留</t>
        </is>
      </c>
      <c r="H8" s="2" t="n"/>
      <c r="I8" s="2" t="n"/>
    </row>
    <row r="9" ht="66" customHeight="1">
      <c r="A9" s="2" t="inlineStr">
        <is>
          <t>煤电</t>
        </is>
      </c>
      <c r="B9" s="2" t="inlineStr">
        <is>
          <t>MIN_DOWN_TIME</t>
        </is>
      </c>
      <c r="C9" s="2" t="inlineStr">
        <is>
          <t>最小连续停机时间</t>
        </is>
      </c>
      <c r="D9" s="2" t="inlineStr">
        <is>
          <t>h</t>
        </is>
      </c>
      <c r="E9" s="2" t="inlineStr">
        <is>
          <t>源表</t>
        </is>
      </c>
      <c r="F9" s="2" t="inlineStr">
        <is>
          <t>原表/说明</t>
        </is>
      </c>
      <c r="G9" s="2" t="inlineStr">
        <is>
          <t>原有内容保留</t>
        </is>
      </c>
      <c r="H9" s="2" t="n"/>
      <c r="I9" s="2" t="n"/>
    </row>
    <row r="10" ht="66" customHeight="1">
      <c r="A10" s="2" t="inlineStr">
        <is>
          <t>煤电</t>
        </is>
      </c>
      <c r="B10" s="2" t="inlineStr">
        <is>
          <t>MIN_UP_TIME</t>
        </is>
      </c>
      <c r="C10" s="2" t="inlineStr">
        <is>
          <t>最小连续开机时间</t>
        </is>
      </c>
      <c r="D10" s="2" t="inlineStr">
        <is>
          <t>h</t>
        </is>
      </c>
      <c r="E10" s="2" t="inlineStr">
        <is>
          <t>源表，核实时间口径</t>
        </is>
      </c>
      <c r="F10" s="2" t="inlineStr">
        <is>
          <t>原表/说明</t>
        </is>
      </c>
      <c r="G10" s="2" t="inlineStr">
        <is>
          <t>原有内容保留</t>
        </is>
      </c>
      <c r="H10" s="2" t="n"/>
      <c r="I10" s="2" t="n"/>
    </row>
    <row r="11" ht="66" customHeight="1">
      <c r="A11" s="2" t="inlineStr">
        <is>
          <t>煤电</t>
        </is>
      </c>
      <c r="B11" s="2" t="inlineStr">
        <is>
          <t>RAMP_LIMIT_UP</t>
        </is>
      </c>
      <c r="C11" s="2" t="inlineStr">
        <is>
          <t>向上爬坡</t>
        </is>
      </c>
      <c r="D11" s="2" t="inlineStr">
        <is>
          <t>MW/时段</t>
        </is>
      </c>
      <c r="E11" s="2" t="inlineStr">
        <is>
          <t>需确认原始时段长度</t>
        </is>
      </c>
      <c r="F11" s="2" t="inlineStr">
        <is>
          <t>原表/说明</t>
        </is>
      </c>
      <c r="G11" s="2" t="inlineStr">
        <is>
          <t>原有内容保留</t>
        </is>
      </c>
      <c r="H11" s="2" t="n"/>
      <c r="I11" s="2" t="n"/>
    </row>
    <row r="12" ht="66" customHeight="1">
      <c r="A12" s="2" t="inlineStr">
        <is>
          <t>煤电</t>
        </is>
      </c>
      <c r="B12" s="2" t="inlineStr">
        <is>
          <t>RAMP_LIMIT_DOWN</t>
        </is>
      </c>
      <c r="C12" s="2" t="inlineStr">
        <is>
          <t>向下爬坡</t>
        </is>
      </c>
      <c r="D12" s="2" t="inlineStr">
        <is>
          <t>MW/时段</t>
        </is>
      </c>
      <c r="E12" s="2" t="inlineStr">
        <is>
          <t>需确认原始时段长度</t>
        </is>
      </c>
      <c r="F12" s="2" t="inlineStr">
        <is>
          <t>原表/说明</t>
        </is>
      </c>
      <c r="G12" s="2" t="inlineStr">
        <is>
          <t>原有内容保留</t>
        </is>
      </c>
      <c r="H12" s="2" t="n"/>
      <c r="I12" s="2" t="n"/>
    </row>
    <row r="13" ht="66" customHeight="1">
      <c r="A13" s="2" t="inlineStr">
        <is>
          <t>煤电</t>
        </is>
      </c>
      <c r="B13" s="2" t="inlineStr">
        <is>
          <t>COST_A</t>
        </is>
      </c>
      <c r="C13" s="2" t="inlineStr">
        <is>
          <t>燃料二次项</t>
        </is>
      </c>
      <c r="D13" s="2" t="inlineStr">
        <is>
          <t>原货币单位/(h·MW²)</t>
        </is>
      </c>
      <c r="E13" s="2" t="inlineStr">
        <is>
          <t>需确认原货币单位</t>
        </is>
      </c>
      <c r="F13" s="2" t="inlineStr">
        <is>
          <t>原表/说明</t>
        </is>
      </c>
      <c r="G13" s="2" t="inlineStr">
        <is>
          <t>原有内容保留</t>
        </is>
      </c>
      <c r="H13" s="2" t="n"/>
      <c r="I13" s="2" t="n"/>
    </row>
    <row r="14" ht="66" customHeight="1">
      <c r="A14" s="2" t="inlineStr">
        <is>
          <t>煤电</t>
        </is>
      </c>
      <c r="B14" s="2" t="inlineStr">
        <is>
          <t>COST_B</t>
        </is>
      </c>
      <c r="C14" s="2" t="inlineStr">
        <is>
          <t>燃料一次项</t>
        </is>
      </c>
      <c r="D14" s="2" t="inlineStr">
        <is>
          <t>原货币单位/MWh</t>
        </is>
      </c>
      <c r="E14" s="2" t="inlineStr">
        <is>
          <t>不自动作为气电GEN_COST</t>
        </is>
      </c>
      <c r="F14" s="2" t="inlineStr">
        <is>
          <t>原表/说明</t>
        </is>
      </c>
      <c r="G14" s="2" t="inlineStr">
        <is>
          <t>原有内容保留</t>
        </is>
      </c>
      <c r="H14" s="2" t="n"/>
      <c r="I14" s="2" t="n"/>
    </row>
    <row r="15" ht="66" customHeight="1">
      <c r="A15" s="2" t="inlineStr">
        <is>
          <t>煤电</t>
        </is>
      </c>
      <c r="B15" s="2" t="inlineStr">
        <is>
          <t>COST_C</t>
        </is>
      </c>
      <c r="C15" s="2" t="inlineStr">
        <is>
          <t>燃料常数项</t>
        </is>
      </c>
      <c r="D15" s="2" t="inlineStr">
        <is>
          <t>原货币单位/h</t>
        </is>
      </c>
      <c r="E15" s="2" t="inlineStr">
        <is>
          <t>煤电在线空载成本</t>
        </is>
      </c>
      <c r="F15" s="2" t="inlineStr">
        <is>
          <t>原表/说明</t>
        </is>
      </c>
      <c r="G15" s="2" t="inlineStr">
        <is>
          <t>原有内容保留</t>
        </is>
      </c>
      <c r="H15" s="2" t="n"/>
      <c r="I15" s="2" t="n"/>
    </row>
    <row r="16" ht="66" customHeight="1">
      <c r="A16" s="2" t="inlineStr">
        <is>
          <t>煤电</t>
        </is>
      </c>
      <c r="B16" s="2" t="inlineStr">
        <is>
          <t>COST_START_UP</t>
        </is>
      </c>
      <c r="C16" s="2" t="inlineStr">
        <is>
          <t>启动成本</t>
        </is>
      </c>
      <c r="D16" s="2" t="inlineStr">
        <is>
          <t>原货币单位/次</t>
        </is>
      </c>
      <c r="E16" s="2" t="inlineStr">
        <is>
          <t>源表</t>
        </is>
      </c>
      <c r="F16" s="2" t="inlineStr">
        <is>
          <t>原表/说明</t>
        </is>
      </c>
      <c r="G16" s="2" t="inlineStr">
        <is>
          <t>原有内容保留</t>
        </is>
      </c>
      <c r="H16" s="2" t="n"/>
      <c r="I16" s="2" t="n"/>
    </row>
    <row r="17" ht="66" customHeight="1">
      <c r="A17" s="2" t="inlineStr">
        <is>
          <t>煤电</t>
        </is>
      </c>
      <c r="B17" s="2" t="inlineStr">
        <is>
          <t>COST_SHUT_DOWN</t>
        </is>
      </c>
      <c r="C17" s="2" t="inlineStr">
        <is>
          <t>停机成本</t>
        </is>
      </c>
      <c r="D17" s="2" t="inlineStr">
        <is>
          <t>原货币单位/次</t>
        </is>
      </c>
      <c r="E17" s="2" t="inlineStr">
        <is>
          <t>源表</t>
        </is>
      </c>
      <c r="F17" s="2" t="inlineStr">
        <is>
          <t>原表/说明</t>
        </is>
      </c>
      <c r="G17" s="2" t="inlineStr">
        <is>
          <t>原有内容保留</t>
        </is>
      </c>
      <c r="H17" s="2" t="n"/>
      <c r="I17" s="2" t="n"/>
    </row>
    <row r="18" ht="66" customHeight="1">
      <c r="A18" s="2" t="inlineStr">
        <is>
          <t>煤电</t>
        </is>
      </c>
      <c r="B18" s="2" t="inlineStr">
        <is>
          <t>MIN_POWER_CHARGE</t>
        </is>
      </c>
      <c r="C18" s="2" t="inlineStr">
        <is>
          <t>原抽水功率下限</t>
        </is>
      </c>
      <c r="D18" s="2" t="inlineStr">
        <is>
          <t>MW</t>
        </is>
      </c>
      <c r="E18" s="2" t="inlineStr">
        <is>
          <t>保留带符号原值</t>
        </is>
      </c>
      <c r="F18" s="2" t="inlineStr">
        <is>
          <t>原表/说明</t>
        </is>
      </c>
      <c r="G18" s="2" t="inlineStr">
        <is>
          <t>原有内容保留</t>
        </is>
      </c>
      <c r="H18" s="2" t="n"/>
      <c r="I18" s="2" t="n"/>
    </row>
    <row r="19" ht="66" customHeight="1">
      <c r="A19" s="2" t="inlineStr">
        <is>
          <t>煤电</t>
        </is>
      </c>
      <c r="B19" s="2" t="inlineStr">
        <is>
          <t>MAX_POWER_CHARGE</t>
        </is>
      </c>
      <c r="C19" s="2" t="inlineStr">
        <is>
          <t>最大抽水功率</t>
        </is>
      </c>
      <c r="D19" s="2" t="inlineStr">
        <is>
          <t>MW</t>
        </is>
      </c>
      <c r="E19" s="2" t="inlineStr">
        <is>
          <t>正向吸收功率</t>
        </is>
      </c>
      <c r="F19" s="2" t="inlineStr">
        <is>
          <t>原表/说明</t>
        </is>
      </c>
      <c r="G19" s="2" t="inlineStr">
        <is>
          <t>原有内容保留</t>
        </is>
      </c>
      <c r="H19" s="2" t="n"/>
      <c r="I19" s="2" t="n"/>
    </row>
    <row r="20" ht="66" customHeight="1">
      <c r="A20" s="2" t="inlineStr">
        <is>
          <t>煤电</t>
        </is>
      </c>
      <c r="B20" s="2" t="inlineStr">
        <is>
          <t>GEN_AFFI_FACTOR</t>
        </is>
      </c>
      <c r="C20" s="2" t="inlineStr">
        <is>
          <t>发电效率</t>
        </is>
      </c>
      <c r="D20" s="2" t="inlineStr">
        <is>
          <t>0~1</t>
        </is>
      </c>
      <c r="E20" s="2" t="inlineStr">
        <is>
          <t>源表</t>
        </is>
      </c>
      <c r="F20" s="2" t="inlineStr">
        <is>
          <t>原表/说明</t>
        </is>
      </c>
      <c r="G20" s="2" t="inlineStr">
        <is>
          <t>原有内容保留</t>
        </is>
      </c>
      <c r="H20" s="2" t="n"/>
      <c r="I20" s="2" t="n"/>
    </row>
    <row r="21" ht="66" customHeight="1">
      <c r="A21" s="2" t="inlineStr">
        <is>
          <t>煤电</t>
        </is>
      </c>
      <c r="B21" s="2" t="inlineStr">
        <is>
          <t>CHAEGE_AFFI_FACTOR</t>
        </is>
      </c>
      <c r="C21" s="2" t="inlineStr">
        <is>
          <t>抽水效率</t>
        </is>
      </c>
      <c r="D21" s="2" t="inlineStr">
        <is>
          <t>0~1</t>
        </is>
      </c>
      <c r="E21" s="2" t="inlineStr">
        <is>
          <t>沿用源表拼写</t>
        </is>
      </c>
      <c r="F21" s="2" t="inlineStr">
        <is>
          <t>原表/说明</t>
        </is>
      </c>
      <c r="G21" s="2" t="inlineStr">
        <is>
          <t>原有内容保留</t>
        </is>
      </c>
      <c r="H21" s="2" t="n"/>
      <c r="I21" s="2" t="n"/>
    </row>
    <row r="22" ht="66" customHeight="1">
      <c r="A22" s="2" t="inlineStr">
        <is>
          <t>煤电</t>
        </is>
      </c>
      <c r="B22" s="2" t="inlineStr">
        <is>
          <t>INIT_STATUS</t>
        </is>
      </c>
      <c r="C22" s="2" t="inlineStr">
        <is>
          <t>周期前运行状态</t>
        </is>
      </c>
      <c r="D22" s="2" t="inlineStr">
        <is>
          <t>0/1</t>
        </is>
      </c>
      <c r="E22" s="2" t="inlineStr">
        <is>
          <t>待填；仅煤电气电经济启停使用</t>
        </is>
      </c>
      <c r="F22" s="2" t="inlineStr">
        <is>
          <t>公开资料与算例假设区分见右侧</t>
        </is>
      </c>
      <c r="G22" s="2" t="inlineStr">
        <is>
          <t>算例初态：煤电开机且出力为原最小出力；气电停机且出力0。已持续时间取原最小开/停机时间较大者；非2023实测。改变起点时可重设。</t>
        </is>
      </c>
      <c r="H22" s="2" t="inlineStr">
        <is>
          <t>假设</t>
        </is>
      </c>
      <c r="I22" s="2" t="n"/>
    </row>
    <row r="23" ht="66" customHeight="1">
      <c r="A23" s="2" t="inlineStr">
        <is>
          <t>煤电</t>
        </is>
      </c>
      <c r="B23" s="2" t="inlineStr">
        <is>
          <t>INIT_POWER</t>
        </is>
      </c>
      <c r="C23" s="2" t="inlineStr">
        <is>
          <t>周期前功率</t>
        </is>
      </c>
      <c r="D23" s="2" t="inlineStr">
        <is>
          <t>MW</t>
        </is>
      </c>
      <c r="E23" s="2" t="inlineStr">
        <is>
          <t>待填，与初始状态一致</t>
        </is>
      </c>
      <c r="F23" s="2" t="inlineStr">
        <is>
          <t>公开资料与算例假设区分见右侧</t>
        </is>
      </c>
      <c r="G23" s="2" t="inlineStr">
        <is>
          <t>算例初态：煤电开机且出力为原最小出力；气电停机且出力0。已持续时间取原最小开/停机时间较大者；非2023实测。改变起点时可重设。</t>
        </is>
      </c>
      <c r="H23" s="2" t="inlineStr">
        <is>
          <t>假设</t>
        </is>
      </c>
      <c r="I23" s="2" t="n"/>
    </row>
    <row r="24" ht="66" customHeight="1">
      <c r="A24" s="2" t="inlineStr">
        <is>
          <t>煤电</t>
        </is>
      </c>
      <c r="B24" s="2" t="inlineStr">
        <is>
          <t>FOM_COST_PERIOD</t>
        </is>
      </c>
      <c r="C24" s="2" t="inlineStr">
        <is>
          <t>本周期固定运维系数</t>
        </is>
      </c>
      <c r="D24" s="2" t="inlineStr">
        <is>
          <t>万元/MW·基准期</t>
        </is>
      </c>
      <c r="E24" s="2" t="inlineStr">
        <is>
          <t>输入对应fixedCostReferenceHours小时；MATLAB自动折算到T小时。</t>
        </is>
      </c>
      <c r="F24" s="2" t="inlineStr">
        <is>
          <t>公开资料与算例假设区分见右侧</t>
        </is>
      </c>
      <c r="G2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24" s="2" t="inlineStr">
        <is>
          <t>算例基准2023</t>
        </is>
      </c>
      <c r="I24" s="2" t="inlineStr">
        <is>
          <t>本目录 synergy_jiangsu_25_legacy.m；运维比例为假设</t>
        </is>
      </c>
    </row>
    <row r="25" ht="66" customHeight="1">
      <c r="A25" s="2" t="inlineStr">
        <is>
          <t>煤电</t>
        </is>
      </c>
      <c r="B25" s="2" t="inlineStr">
        <is>
          <t>INIT_HOURS</t>
        </is>
      </c>
      <c r="C25" s="2" t="inlineStr">
        <is>
          <t>初始状态已持续时长</t>
        </is>
      </c>
      <c r="D25" s="2" t="inlineStr">
        <is>
          <t>h</t>
        </is>
      </c>
      <c r="E25" s="2" t="inlineStr">
        <is>
          <t>待填，整数小时</t>
        </is>
      </c>
      <c r="F25" s="2" t="inlineStr">
        <is>
          <t>公开资料与算例假设区分见右侧</t>
        </is>
      </c>
      <c r="G25" s="2" t="inlineStr">
        <is>
          <t>算例初态：煤电开机且出力为原最小出力；气电停机且出力0。已持续时间取原最小开/停机时间较大者；非2023实测。改变起点时可重设。</t>
        </is>
      </c>
      <c r="H25" s="2" t="inlineStr">
        <is>
          <t>假设</t>
        </is>
      </c>
      <c r="I25" s="2" t="n"/>
    </row>
    <row r="26" ht="66" customHeight="1">
      <c r="A26" s="2" t="inlineStr">
        <is>
          <t>煤电</t>
        </is>
      </c>
      <c r="B26" s="2" t="inlineStr">
        <is>
          <t>START_RAMP</t>
        </is>
      </c>
      <c r="C26" s="2" t="inlineStr">
        <is>
          <t>启动允许功率变化</t>
        </is>
      </c>
      <c r="D26" s="2" t="inlineStr">
        <is>
          <t>MW/时段</t>
        </is>
      </c>
      <c r="E26" s="2" t="inlineStr">
        <is>
          <t>待填</t>
        </is>
      </c>
      <c r="F26" s="2" t="inlineStr">
        <is>
          <t>公开资料与算例假设区分见右侧</t>
        </is>
      </c>
      <c r="G26" s="2" t="inlineStr">
        <is>
          <t>算例假设MW/h：煤电启动取原最小出力，其余启动取额定；停机均取额定。原运行爬坡值保留。</t>
        </is>
      </c>
      <c r="H26" s="2" t="inlineStr">
        <is>
          <t>假设</t>
        </is>
      </c>
      <c r="I26" s="2" t="n"/>
    </row>
    <row r="27" ht="66" customHeight="1">
      <c r="A27" s="2" t="inlineStr">
        <is>
          <t>煤电</t>
        </is>
      </c>
      <c r="B27" s="2" t="inlineStr">
        <is>
          <t>STOP_RAMP</t>
        </is>
      </c>
      <c r="C27" s="2" t="inlineStr">
        <is>
          <t>停机允许功率变化</t>
        </is>
      </c>
      <c r="D27" s="2" t="inlineStr">
        <is>
          <t>MW/时段</t>
        </is>
      </c>
      <c r="E27" s="2" t="inlineStr">
        <is>
          <t>待填</t>
        </is>
      </c>
      <c r="F27" s="2" t="inlineStr">
        <is>
          <t>公开资料与算例假设区分见右侧</t>
        </is>
      </c>
      <c r="G27" s="2" t="inlineStr">
        <is>
          <t>算例假设MW/h：煤电启动取原最小出力，其余启动取额定；停机均取额定。原运行爬坡值保留。</t>
        </is>
      </c>
      <c r="H27" s="2" t="inlineStr">
        <is>
          <t>假设</t>
        </is>
      </c>
      <c r="I27" s="2" t="n"/>
    </row>
    <row r="28" ht="66" customHeight="1">
      <c r="A28" s="2" t="inlineStr">
        <is>
          <t>煤电</t>
        </is>
      </c>
      <c r="B28" s="2" t="inlineStr">
        <is>
          <t>SO2_FACTOR</t>
        </is>
      </c>
      <c r="C28" s="2" t="inlineStr">
        <is>
          <t>SO2排放因子</t>
        </is>
      </c>
      <c r="D28" s="2" t="inlineStr">
        <is>
          <t>t/MWh</t>
        </is>
      </c>
      <c r="E28" s="2" t="inlineStr">
        <is>
          <t>待填</t>
        </is>
      </c>
      <c r="F28" s="2" t="inlineStr">
        <is>
          <t>公开资料与算例假设区分见右侧</t>
        </is>
      </c>
      <c r="G28" s="2" t="inlineStr">
        <is>
          <t>算例排放强度：SO2=0.1、NOx=0.15、烟尘=0.015 g/kWh，乘0.001填t/MWh；非机组监测数据。</t>
        </is>
      </c>
      <c r="H28" s="2" t="inlineStr">
        <is>
          <t>假设</t>
        </is>
      </c>
      <c r="I28" s="2" t="n"/>
    </row>
    <row r="29" ht="66" customHeight="1">
      <c r="A29" s="2" t="inlineStr">
        <is>
          <t>煤电</t>
        </is>
      </c>
      <c r="B29" s="2" t="inlineStr">
        <is>
          <t>NOX_FACTOR</t>
        </is>
      </c>
      <c r="C29" s="2" t="inlineStr">
        <is>
          <t>NOx排放因子</t>
        </is>
      </c>
      <c r="D29" s="2" t="inlineStr">
        <is>
          <t>t/MWh</t>
        </is>
      </c>
      <c r="E29" s="2" t="inlineStr">
        <is>
          <t>待填</t>
        </is>
      </c>
      <c r="F29" s="2" t="inlineStr">
        <is>
          <t>公开资料与算例假设区分见右侧</t>
        </is>
      </c>
      <c r="G29" s="2" t="inlineStr">
        <is>
          <t>算例排放强度：SO2=0.1、NOx=0.15、烟尘=0.015 g/kWh，乘0.001填t/MWh；非机组监测数据。</t>
        </is>
      </c>
      <c r="H29" s="2" t="inlineStr">
        <is>
          <t>假设</t>
        </is>
      </c>
      <c r="I29" s="2" t="n"/>
    </row>
    <row r="30" ht="66" customHeight="1">
      <c r="A30" s="2" t="inlineStr">
        <is>
          <t>煤电</t>
        </is>
      </c>
      <c r="B30" s="2" t="inlineStr">
        <is>
          <t>DUST_FACTOR</t>
        </is>
      </c>
      <c r="C30" s="2" t="inlineStr">
        <is>
          <t>烟尘排放因子</t>
        </is>
      </c>
      <c r="D30" s="2" t="inlineStr">
        <is>
          <t>t/MWh</t>
        </is>
      </c>
      <c r="E30" s="2" t="inlineStr">
        <is>
          <t>待填</t>
        </is>
      </c>
      <c r="F30" s="2" t="inlineStr">
        <is>
          <t>公开资料与算例假设区分见右侧</t>
        </is>
      </c>
      <c r="G30" s="2" t="inlineStr">
        <is>
          <t>算例排放强度：SO2=0.1、NOx=0.15、烟尘=0.015 g/kWh，乘0.001填t/MWh；非机组监测数据。</t>
        </is>
      </c>
      <c r="H30" s="2" t="inlineStr">
        <is>
          <t>假设</t>
        </is>
      </c>
      <c r="I30" s="2" t="n"/>
    </row>
    <row r="31" ht="66" customHeight="1">
      <c r="A31" s="2" t="inlineStr">
        <is>
          <t>煤电</t>
        </is>
      </c>
      <c r="B31" s="2" t="inlineStr">
        <is>
          <t>DataStatus</t>
        </is>
      </c>
      <c r="C31" s="2" t="inlineStr">
        <is>
          <t>数据状态</t>
        </is>
      </c>
      <c r="D31" s="2" t="inlineStr">
        <is>
          <t>文本</t>
        </is>
      </c>
      <c r="E31" s="2" t="inlineStr">
        <is>
          <t>源表数据保留；新增参数待填</t>
        </is>
      </c>
      <c r="F31" s="2" t="inlineStr">
        <is>
          <t>原表/说明</t>
        </is>
      </c>
      <c r="G31" s="2" t="inlineStr">
        <is>
          <t>原有内容保留</t>
        </is>
      </c>
      <c r="H31" s="2" t="n"/>
      <c r="I31" s="2" t="n"/>
    </row>
    <row r="32" ht="66" customHeight="1">
      <c r="A32" s="2" t="inlineStr">
        <is>
          <t>气电</t>
        </is>
      </c>
      <c r="B32" s="2" t="inlineStr">
        <is>
          <t>UnitKey</t>
        </is>
      </c>
      <c r="C32" s="2" t="inlineStr">
        <is>
          <t>机组唯一编号</t>
        </is>
      </c>
      <c r="D32" s="2" t="inlineStr">
        <is>
          <t>文本</t>
        </is>
      </c>
      <c r="E32" s="2" t="inlineStr">
        <is>
          <t>创建后固定，不随排序改变；新增机组用新编号</t>
        </is>
      </c>
      <c r="F32" s="2" t="inlineStr">
        <is>
          <t>新增稳定编号</t>
        </is>
      </c>
      <c r="G32" s="2" t="inlineStr">
        <is>
          <t>原有内容保留</t>
        </is>
      </c>
      <c r="H32" s="2" t="n"/>
      <c r="I32" s="2" t="n"/>
    </row>
    <row r="33" ht="66" customHeight="1">
      <c r="A33" s="2" t="inlineStr">
        <is>
          <t>气电</t>
        </is>
      </c>
      <c r="B33" s="2" t="inlineStr">
        <is>
          <t>ID</t>
        </is>
      </c>
      <c r="C33" s="2" t="inlineStr">
        <is>
          <t>原始数据库编号</t>
        </is>
      </c>
      <c r="D33" s="2" t="inlineStr">
        <is>
          <t>原值</t>
        </is>
      </c>
      <c r="E33" s="2" t="inlineStr">
        <is>
          <t>原Excel超长数字已可能失真，不用作关联键</t>
        </is>
      </c>
      <c r="F33" s="2" t="inlineStr">
        <is>
          <t>原表/说明</t>
        </is>
      </c>
      <c r="G33" s="2" t="inlineStr">
        <is>
          <t>原有内容保留</t>
        </is>
      </c>
      <c r="H33" s="2" t="n"/>
      <c r="I33" s="2" t="n"/>
    </row>
    <row r="34" ht="66" customHeight="1">
      <c r="A34" s="2" t="inlineStr">
        <is>
          <t>气电</t>
        </is>
      </c>
      <c r="B34" s="2" t="inlineStr">
        <is>
          <t>NAME</t>
        </is>
      </c>
      <c r="C34" s="2" t="inlineStr">
        <is>
          <t>机组名称</t>
        </is>
      </c>
      <c r="D34" s="2" t="inlineStr">
        <is>
          <t>文本</t>
        </is>
      </c>
      <c r="E34" s="2" t="inlineStr">
        <is>
          <t>保留源表</t>
        </is>
      </c>
      <c r="F34" s="2" t="inlineStr">
        <is>
          <t>原表/说明</t>
        </is>
      </c>
      <c r="G34" s="2" t="inlineStr">
        <is>
          <t>原有内容保留</t>
        </is>
      </c>
      <c r="H34" s="2" t="n"/>
      <c r="I34" s="2" t="n"/>
    </row>
    <row r="35" ht="66" customHeight="1">
      <c r="A35" s="2" t="inlineStr">
        <is>
          <t>气电</t>
        </is>
      </c>
      <c r="B35" s="2" t="inlineStr">
        <is>
          <t>SUBSTR(C.ID，12)</t>
        </is>
      </c>
      <c r="C35" s="2" t="inlineStr">
        <is>
          <t>分区编号</t>
        </is>
      </c>
      <c r="D35" s="2" t="inlineStr">
        <is>
          <t>编号</t>
        </is>
      </c>
      <c r="E35" s="2" t="inlineStr">
        <is>
          <t>与分区表对应</t>
        </is>
      </c>
      <c r="F35" s="2" t="inlineStr">
        <is>
          <t>原表/说明</t>
        </is>
      </c>
      <c r="G35" s="2" t="inlineStr">
        <is>
          <t>原有内容保留</t>
        </is>
      </c>
      <c r="H35" s="2" t="n"/>
      <c r="I35" s="2" t="n"/>
    </row>
    <row r="36" ht="66" customHeight="1">
      <c r="A36" s="2" t="inlineStr">
        <is>
          <t>气电</t>
        </is>
      </c>
      <c r="B36" s="2" t="inlineStr">
        <is>
          <t>PLANT_ID</t>
        </is>
      </c>
      <c r="C36" s="2" t="inlineStr">
        <is>
          <t>原电厂编号</t>
        </is>
      </c>
      <c r="D36" s="2" t="inlineStr">
        <is>
          <t>原值</t>
        </is>
      </c>
      <c r="E36" s="2" t="inlineStr">
        <is>
          <t>保留源表</t>
        </is>
      </c>
      <c r="F36" s="2" t="inlineStr">
        <is>
          <t>原表/说明</t>
        </is>
      </c>
      <c r="G36" s="2" t="inlineStr">
        <is>
          <t>原有内容保留</t>
        </is>
      </c>
      <c r="H36" s="2" t="n"/>
      <c r="I36" s="2" t="n"/>
    </row>
    <row r="37" ht="66" customHeight="1">
      <c r="A37" s="2" t="inlineStr">
        <is>
          <t>气电</t>
        </is>
      </c>
      <c r="B37" s="2" t="inlineStr">
        <is>
          <t>CAP</t>
        </is>
      </c>
      <c r="C37" s="2" t="inlineStr">
        <is>
          <t>额定容量</t>
        </is>
      </c>
      <c r="D37" s="2" t="inlineStr">
        <is>
          <t>MW</t>
        </is>
      </c>
      <c r="E37" s="2" t="inlineStr">
        <is>
          <t>源表</t>
        </is>
      </c>
      <c r="F37" s="2" t="inlineStr">
        <is>
          <t>原表/说明</t>
        </is>
      </c>
      <c r="G37" s="2" t="inlineStr">
        <is>
          <t>原有内容保留</t>
        </is>
      </c>
      <c r="H37" s="2" t="n"/>
      <c r="I37" s="2" t="n"/>
    </row>
    <row r="38" ht="66" customHeight="1">
      <c r="A38" s="2" t="inlineStr">
        <is>
          <t>气电</t>
        </is>
      </c>
      <c r="B38" s="2" t="inlineStr">
        <is>
          <t>MIN_POWER_GEN</t>
        </is>
      </c>
      <c r="C38" s="2" t="inlineStr">
        <is>
          <t>最小技术出力</t>
        </is>
      </c>
      <c r="D38" s="2" t="inlineStr">
        <is>
          <t>MW</t>
        </is>
      </c>
      <c r="E38" s="2" t="inlineStr">
        <is>
          <t>抽蓄原字段为带符号值，不作为抽水下限</t>
        </is>
      </c>
      <c r="F38" s="2" t="inlineStr">
        <is>
          <t>原表/说明</t>
        </is>
      </c>
      <c r="G38" s="2" t="inlineStr">
        <is>
          <t>原有内容保留</t>
        </is>
      </c>
      <c r="H38" s="2" t="n"/>
      <c r="I38" s="2" t="n"/>
    </row>
    <row r="39" ht="66" customHeight="1">
      <c r="A39" s="2" t="inlineStr">
        <is>
          <t>气电</t>
        </is>
      </c>
      <c r="B39" s="2" t="inlineStr">
        <is>
          <t>MIN_DOWN_TIME</t>
        </is>
      </c>
      <c r="C39" s="2" t="inlineStr">
        <is>
          <t>最小连续停机时间</t>
        </is>
      </c>
      <c r="D39" s="2" t="inlineStr">
        <is>
          <t>h</t>
        </is>
      </c>
      <c r="E39" s="2" t="inlineStr">
        <is>
          <t>源表</t>
        </is>
      </c>
      <c r="F39" s="2" t="inlineStr">
        <is>
          <t>原表/说明</t>
        </is>
      </c>
      <c r="G39" s="2" t="inlineStr">
        <is>
          <t>原有内容保留</t>
        </is>
      </c>
      <c r="H39" s="2" t="n"/>
      <c r="I39" s="2" t="n"/>
    </row>
    <row r="40" ht="66" customHeight="1">
      <c r="A40" s="2" t="inlineStr">
        <is>
          <t>气电</t>
        </is>
      </c>
      <c r="B40" s="2" t="inlineStr">
        <is>
          <t>MIN_UP_TIME</t>
        </is>
      </c>
      <c r="C40" s="2" t="inlineStr">
        <is>
          <t>最小连续开机时间</t>
        </is>
      </c>
      <c r="D40" s="2" t="inlineStr">
        <is>
          <t>h</t>
        </is>
      </c>
      <c r="E40" s="2" t="inlineStr">
        <is>
          <t>源表，核实时间口径</t>
        </is>
      </c>
      <c r="F40" s="2" t="inlineStr">
        <is>
          <t>原表/说明</t>
        </is>
      </c>
      <c r="G40" s="2" t="inlineStr">
        <is>
          <t>原有内容保留</t>
        </is>
      </c>
      <c r="H40" s="2" t="n"/>
      <c r="I40" s="2" t="n"/>
    </row>
    <row r="41" ht="66" customHeight="1">
      <c r="A41" s="2" t="inlineStr">
        <is>
          <t>气电</t>
        </is>
      </c>
      <c r="B41" s="2" t="inlineStr">
        <is>
          <t>RAMP_LIMIT_UP</t>
        </is>
      </c>
      <c r="C41" s="2" t="inlineStr">
        <is>
          <t>向上爬坡</t>
        </is>
      </c>
      <c r="D41" s="2" t="inlineStr">
        <is>
          <t>MW/时段</t>
        </is>
      </c>
      <c r="E41" s="2" t="inlineStr">
        <is>
          <t>需确认原始时段长度</t>
        </is>
      </c>
      <c r="F41" s="2" t="inlineStr">
        <is>
          <t>原表/说明</t>
        </is>
      </c>
      <c r="G41" s="2" t="inlineStr">
        <is>
          <t>原有内容保留</t>
        </is>
      </c>
      <c r="H41" s="2" t="n"/>
      <c r="I41" s="2" t="n"/>
    </row>
    <row r="42" ht="66" customHeight="1">
      <c r="A42" s="2" t="inlineStr">
        <is>
          <t>气电</t>
        </is>
      </c>
      <c r="B42" s="2" t="inlineStr">
        <is>
          <t>RAMP_LIMIT_DOWN</t>
        </is>
      </c>
      <c r="C42" s="2" t="inlineStr">
        <is>
          <t>向下爬坡</t>
        </is>
      </c>
      <c r="D42" s="2" t="inlineStr">
        <is>
          <t>MW/时段</t>
        </is>
      </c>
      <c r="E42" s="2" t="inlineStr">
        <is>
          <t>需确认原始时段长度</t>
        </is>
      </c>
      <c r="F42" s="2" t="inlineStr">
        <is>
          <t>原表/说明</t>
        </is>
      </c>
      <c r="G42" s="2" t="inlineStr">
        <is>
          <t>原有内容保留</t>
        </is>
      </c>
      <c r="H42" s="2" t="n"/>
      <c r="I42" s="2" t="n"/>
    </row>
    <row r="43" ht="66" customHeight="1">
      <c r="A43" s="2" t="inlineStr">
        <is>
          <t>气电</t>
        </is>
      </c>
      <c r="B43" s="2" t="inlineStr">
        <is>
          <t>COST_A</t>
        </is>
      </c>
      <c r="C43" s="2" t="inlineStr">
        <is>
          <t>燃料二次项</t>
        </is>
      </c>
      <c r="D43" s="2" t="inlineStr">
        <is>
          <t>原货币单位/(h·MW²)</t>
        </is>
      </c>
      <c r="E43" s="2" t="inlineStr">
        <is>
          <t>需确认原货币单位</t>
        </is>
      </c>
      <c r="F43" s="2" t="inlineStr">
        <is>
          <t>原表/说明</t>
        </is>
      </c>
      <c r="G43" s="2" t="inlineStr">
        <is>
          <t>原有内容保留</t>
        </is>
      </c>
      <c r="H43" s="2" t="n"/>
      <c r="I43" s="2" t="n"/>
    </row>
    <row r="44" ht="66" customHeight="1">
      <c r="A44" s="2" t="inlineStr">
        <is>
          <t>气电</t>
        </is>
      </c>
      <c r="B44" s="2" t="inlineStr">
        <is>
          <t>COST_B</t>
        </is>
      </c>
      <c r="C44" s="2" t="inlineStr">
        <is>
          <t>燃料一次项</t>
        </is>
      </c>
      <c r="D44" s="2" t="inlineStr">
        <is>
          <t>原货币单位/MWh</t>
        </is>
      </c>
      <c r="E44" s="2" t="inlineStr">
        <is>
          <t>不自动作为气电GEN_COST</t>
        </is>
      </c>
      <c r="F44" s="2" t="inlineStr">
        <is>
          <t>原表/说明</t>
        </is>
      </c>
      <c r="G44" s="2" t="inlineStr">
        <is>
          <t>原有内容保留</t>
        </is>
      </c>
      <c r="H44" s="2" t="n"/>
      <c r="I44" s="2" t="n"/>
    </row>
    <row r="45" ht="66" customHeight="1">
      <c r="A45" s="2" t="inlineStr">
        <is>
          <t>气电</t>
        </is>
      </c>
      <c r="B45" s="2" t="inlineStr">
        <is>
          <t>COST_C</t>
        </is>
      </c>
      <c r="C45" s="2" t="inlineStr">
        <is>
          <t>燃料常数项</t>
        </is>
      </c>
      <c r="D45" s="2" t="inlineStr">
        <is>
          <t>原货币单位/h</t>
        </is>
      </c>
      <c r="E45" s="2" t="inlineStr">
        <is>
          <t>煤电在线空载成本</t>
        </is>
      </c>
      <c r="F45" s="2" t="inlineStr">
        <is>
          <t>原表/说明</t>
        </is>
      </c>
      <c r="G45" s="2" t="inlineStr">
        <is>
          <t>原有内容保留</t>
        </is>
      </c>
      <c r="H45" s="2" t="n"/>
      <c r="I45" s="2" t="n"/>
    </row>
    <row r="46" ht="66" customHeight="1">
      <c r="A46" s="2" t="inlineStr">
        <is>
          <t>气电</t>
        </is>
      </c>
      <c r="B46" s="2" t="inlineStr">
        <is>
          <t>COST_START_UP</t>
        </is>
      </c>
      <c r="C46" s="2" t="inlineStr">
        <is>
          <t>启动成本</t>
        </is>
      </c>
      <c r="D46" s="2" t="inlineStr">
        <is>
          <t>原货币单位/次</t>
        </is>
      </c>
      <c r="E46" s="2" t="inlineStr">
        <is>
          <t>源表</t>
        </is>
      </c>
      <c r="F46" s="2" t="inlineStr">
        <is>
          <t>原表/说明</t>
        </is>
      </c>
      <c r="G46" s="2" t="inlineStr">
        <is>
          <t>原有内容保留</t>
        </is>
      </c>
      <c r="H46" s="2" t="n"/>
      <c r="I46" s="2" t="n"/>
    </row>
    <row r="47" ht="66" customHeight="1">
      <c r="A47" s="2" t="inlineStr">
        <is>
          <t>气电</t>
        </is>
      </c>
      <c r="B47" s="2" t="inlineStr">
        <is>
          <t>COST_SHUT_DOWN</t>
        </is>
      </c>
      <c r="C47" s="2" t="inlineStr">
        <is>
          <t>停机成本</t>
        </is>
      </c>
      <c r="D47" s="2" t="inlineStr">
        <is>
          <t>原货币单位/次</t>
        </is>
      </c>
      <c r="E47" s="2" t="inlineStr">
        <is>
          <t>源表</t>
        </is>
      </c>
      <c r="F47" s="2" t="inlineStr">
        <is>
          <t>原表/说明</t>
        </is>
      </c>
      <c r="G47" s="2" t="inlineStr">
        <is>
          <t>原有内容保留</t>
        </is>
      </c>
      <c r="H47" s="2" t="n"/>
      <c r="I47" s="2" t="n"/>
    </row>
    <row r="48" ht="66" customHeight="1">
      <c r="A48" s="2" t="inlineStr">
        <is>
          <t>气电</t>
        </is>
      </c>
      <c r="B48" s="2" t="inlineStr">
        <is>
          <t>MIN_POWER_CHARGE</t>
        </is>
      </c>
      <c r="C48" s="2" t="inlineStr">
        <is>
          <t>原抽水功率下限</t>
        </is>
      </c>
      <c r="D48" s="2" t="inlineStr">
        <is>
          <t>MW</t>
        </is>
      </c>
      <c r="E48" s="2" t="inlineStr">
        <is>
          <t>保留带符号原值</t>
        </is>
      </c>
      <c r="F48" s="2" t="inlineStr">
        <is>
          <t>原表/说明</t>
        </is>
      </c>
      <c r="G48" s="2" t="inlineStr">
        <is>
          <t>原有内容保留</t>
        </is>
      </c>
      <c r="H48" s="2" t="n"/>
      <c r="I48" s="2" t="n"/>
    </row>
    <row r="49" ht="66" customHeight="1">
      <c r="A49" s="2" t="inlineStr">
        <is>
          <t>气电</t>
        </is>
      </c>
      <c r="B49" s="2" t="inlineStr">
        <is>
          <t>MAX_POWER_CHARGE</t>
        </is>
      </c>
      <c r="C49" s="2" t="inlineStr">
        <is>
          <t>最大抽水功率</t>
        </is>
      </c>
      <c r="D49" s="2" t="inlineStr">
        <is>
          <t>MW</t>
        </is>
      </c>
      <c r="E49" s="2" t="inlineStr">
        <is>
          <t>正向吸收功率</t>
        </is>
      </c>
      <c r="F49" s="2" t="inlineStr">
        <is>
          <t>原表/说明</t>
        </is>
      </c>
      <c r="G49" s="2" t="inlineStr">
        <is>
          <t>原有内容保留</t>
        </is>
      </c>
      <c r="H49" s="2" t="n"/>
      <c r="I49" s="2" t="n"/>
    </row>
    <row r="50" ht="66" customHeight="1">
      <c r="A50" s="2" t="inlineStr">
        <is>
          <t>气电</t>
        </is>
      </c>
      <c r="B50" s="2" t="inlineStr">
        <is>
          <t>GEN_AFFI_FACTOR</t>
        </is>
      </c>
      <c r="C50" s="2" t="inlineStr">
        <is>
          <t>发电效率</t>
        </is>
      </c>
      <c r="D50" s="2" t="inlineStr">
        <is>
          <t>0~1</t>
        </is>
      </c>
      <c r="E50" s="2" t="inlineStr">
        <is>
          <t>源表</t>
        </is>
      </c>
      <c r="F50" s="2" t="inlineStr">
        <is>
          <t>原表/说明</t>
        </is>
      </c>
      <c r="G50" s="2" t="inlineStr">
        <is>
          <t>原有内容保留</t>
        </is>
      </c>
      <c r="H50" s="2" t="n"/>
      <c r="I50" s="2" t="n"/>
    </row>
    <row r="51" ht="66" customHeight="1">
      <c r="A51" s="2" t="inlineStr">
        <is>
          <t>气电</t>
        </is>
      </c>
      <c r="B51" s="2" t="inlineStr">
        <is>
          <t>CHAEGE_AFFI_FACTOR</t>
        </is>
      </c>
      <c r="C51" s="2" t="inlineStr">
        <is>
          <t>抽水效率</t>
        </is>
      </c>
      <c r="D51" s="2" t="inlineStr">
        <is>
          <t>0~1</t>
        </is>
      </c>
      <c r="E51" s="2" t="inlineStr">
        <is>
          <t>沿用源表拼写</t>
        </is>
      </c>
      <c r="F51" s="2" t="inlineStr">
        <is>
          <t>原表/说明</t>
        </is>
      </c>
      <c r="G51" s="2" t="inlineStr">
        <is>
          <t>原有内容保留</t>
        </is>
      </c>
      <c r="H51" s="2" t="n"/>
      <c r="I51" s="2" t="n"/>
    </row>
    <row r="52" ht="66" customHeight="1">
      <c r="A52" s="2" t="inlineStr">
        <is>
          <t>气电</t>
        </is>
      </c>
      <c r="B52" s="2" t="inlineStr">
        <is>
          <t>INIT_STATUS</t>
        </is>
      </c>
      <c r="C52" s="2" t="inlineStr">
        <is>
          <t>周期前运行状态</t>
        </is>
      </c>
      <c r="D52" s="2" t="inlineStr">
        <is>
          <t>0/1</t>
        </is>
      </c>
      <c r="E52" s="2" t="inlineStr">
        <is>
          <t>待填；仅煤电气电经济启停使用</t>
        </is>
      </c>
      <c r="F52" s="2" t="inlineStr">
        <is>
          <t>公开资料与算例假设区分见右侧</t>
        </is>
      </c>
      <c r="G52" s="2" t="inlineStr">
        <is>
          <t>算例初态：煤电开机且出力为原最小出力；气电停机且出力0。已持续时间取原最小开/停机时间较大者；非2023实测。改变起点时可重设。</t>
        </is>
      </c>
      <c r="H52" s="2" t="inlineStr">
        <is>
          <t>假设</t>
        </is>
      </c>
      <c r="I52" s="2" t="n"/>
    </row>
    <row r="53" ht="66" customHeight="1">
      <c r="A53" s="2" t="inlineStr">
        <is>
          <t>气电</t>
        </is>
      </c>
      <c r="B53" s="2" t="inlineStr">
        <is>
          <t>INIT_POWER</t>
        </is>
      </c>
      <c r="C53" s="2" t="inlineStr">
        <is>
          <t>周期前功率</t>
        </is>
      </c>
      <c r="D53" s="2" t="inlineStr">
        <is>
          <t>MW</t>
        </is>
      </c>
      <c r="E53" s="2" t="inlineStr">
        <is>
          <t>待填，与初始状态一致</t>
        </is>
      </c>
      <c r="F53" s="2" t="inlineStr">
        <is>
          <t>公开资料与算例假设区分见右侧</t>
        </is>
      </c>
      <c r="G53" s="2" t="inlineStr">
        <is>
          <t>算例初态：煤电开机且出力为原最小出力；气电停机且出力0。已持续时间取原最小开/停机时间较大者；非2023实测。改变起点时可重设。</t>
        </is>
      </c>
      <c r="H53" s="2" t="inlineStr">
        <is>
          <t>假设</t>
        </is>
      </c>
      <c r="I53" s="2" t="n"/>
    </row>
    <row r="54" ht="66" customHeight="1">
      <c r="A54" s="2" t="inlineStr">
        <is>
          <t>气电</t>
        </is>
      </c>
      <c r="B54" s="2" t="inlineStr">
        <is>
          <t>FOM_COST_PERIOD</t>
        </is>
      </c>
      <c r="C54" s="2" t="inlineStr">
        <is>
          <t>本周期固定运维系数</t>
        </is>
      </c>
      <c r="D54" s="2" t="inlineStr">
        <is>
          <t>万元/MW·基准期</t>
        </is>
      </c>
      <c r="E54" s="2" t="inlineStr">
        <is>
          <t>输入对应fixedCostReferenceHours小时；MATLAB自动折算到T小时。</t>
        </is>
      </c>
      <c r="F54" s="2" t="inlineStr">
        <is>
          <t>公开资料与算例假设区分见右侧</t>
        </is>
      </c>
      <c r="G5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54" s="2" t="inlineStr">
        <is>
          <t>算例基准2023</t>
        </is>
      </c>
      <c r="I54" s="2" t="inlineStr">
        <is>
          <t>本目录 synergy_jiangsu_25_legacy.m；运维比例为假设</t>
        </is>
      </c>
    </row>
    <row r="55" ht="66" customHeight="1">
      <c r="A55" s="2" t="inlineStr">
        <is>
          <t>气电</t>
        </is>
      </c>
      <c r="B55" s="2" t="inlineStr">
        <is>
          <t>START_RAMP</t>
        </is>
      </c>
      <c r="C55" s="2" t="inlineStr">
        <is>
          <t>启动允许功率变化</t>
        </is>
      </c>
      <c r="D55" s="2" t="inlineStr">
        <is>
          <t>MW/时段</t>
        </is>
      </c>
      <c r="E55" s="2" t="inlineStr">
        <is>
          <t>待填</t>
        </is>
      </c>
      <c r="F55" s="2" t="inlineStr">
        <is>
          <t>公开资料与算例假设区分见右侧</t>
        </is>
      </c>
      <c r="G55" s="2" t="inlineStr">
        <is>
          <t>算例假设MW/h：煤电启动取原最小出力，其余启动取额定；停机均取额定。原运行爬坡值保留。</t>
        </is>
      </c>
      <c r="H55" s="2" t="inlineStr">
        <is>
          <t>假设</t>
        </is>
      </c>
      <c r="I55" s="2" t="n"/>
    </row>
    <row r="56" ht="66" customHeight="1">
      <c r="A56" s="2" t="inlineStr">
        <is>
          <t>气电</t>
        </is>
      </c>
      <c r="B56" s="2" t="inlineStr">
        <is>
          <t>STOP_RAMP</t>
        </is>
      </c>
      <c r="C56" s="2" t="inlineStr">
        <is>
          <t>停机允许功率变化</t>
        </is>
      </c>
      <c r="D56" s="2" t="inlineStr">
        <is>
          <t>MW/时段</t>
        </is>
      </c>
      <c r="E56" s="2" t="inlineStr">
        <is>
          <t>待填</t>
        </is>
      </c>
      <c r="F56" s="2" t="inlineStr">
        <is>
          <t>公开资料与算例假设区分见右侧</t>
        </is>
      </c>
      <c r="G56" s="2" t="inlineStr">
        <is>
          <t>算例假设MW/h：煤电启动取原最小出力，其余启动取额定；停机均取额定。原运行爬坡值保留。</t>
        </is>
      </c>
      <c r="H56" s="2" t="inlineStr">
        <is>
          <t>假设</t>
        </is>
      </c>
      <c r="I56" s="2" t="n"/>
    </row>
    <row r="57" ht="66" customHeight="1">
      <c r="A57" s="2" t="inlineStr">
        <is>
          <t>气电</t>
        </is>
      </c>
      <c r="B57" s="2" t="inlineStr">
        <is>
          <t>CO2_FACTOR</t>
        </is>
      </c>
      <c r="C57" s="2" t="inlineStr">
        <is>
          <t>CO2排放因子</t>
        </is>
      </c>
      <c r="D57" s="2" t="inlineStr">
        <is>
          <t>t/MWh</t>
        </is>
      </c>
      <c r="E57" s="2" t="inlineStr">
        <is>
          <t>待填</t>
        </is>
      </c>
      <c r="F57" s="2" t="inlineStr">
        <is>
          <t>公开资料与算例假设区分见右侧</t>
        </is>
      </c>
      <c r="G57" s="2" t="inlineStr">
        <is>
          <t>IPCC天然气56.1kg/GJ×3.6/1000÷假设效率50%=0.40392t/MWh。燃料因子有来源，效率和机组适用性为假设。</t>
        </is>
      </c>
      <c r="H57" s="2" t="inlineStr">
        <is>
          <t>2006</t>
        </is>
      </c>
      <c r="I57" s="2" t="inlineStr">
        <is>
          <t>https://www.ipcc-nggip.iges.or.jp/public/2006gl/pdf/2_Volume2/V2_2_Ch2_Stationary_Combustion.pdf</t>
        </is>
      </c>
    </row>
    <row r="58" ht="66" customHeight="1">
      <c r="A58" s="2" t="inlineStr">
        <is>
          <t>气电</t>
        </is>
      </c>
      <c r="B58" s="2" t="inlineStr">
        <is>
          <t>GEN_COST</t>
        </is>
      </c>
      <c r="C58" s="2" t="inlineStr">
        <is>
          <t>单位发电成本</t>
        </is>
      </c>
      <c r="D58" s="2" t="inlineStr">
        <is>
          <t>原货币单位/MWh</t>
        </is>
      </c>
      <c r="E58" s="2" t="inlineStr">
        <is>
          <t>待填，不擅自转换旧成本系数</t>
        </is>
      </c>
      <c r="F58" s="2" t="inlineStr">
        <is>
          <t>公开资料与算例假设区分见右侧</t>
        </is>
      </c>
      <c r="G58" s="2" t="inlineStr">
        <is>
          <t>旧模型气400、核100、生物质400元/MWh作为算例基准，除以10000写入；不代表当前燃料报价或上网电价。</t>
        </is>
      </c>
      <c r="H58" s="2" t="inlineStr">
        <is>
          <t>本地算例假设</t>
        </is>
      </c>
      <c r="I58" s="2" t="inlineStr">
        <is>
          <t>本目录 synergy_jiangsu_25_legacy.m</t>
        </is>
      </c>
    </row>
    <row r="59" ht="66" customHeight="1">
      <c r="A59" s="2" t="inlineStr">
        <is>
          <t>气电</t>
        </is>
      </c>
      <c r="B59" s="2" t="inlineStr">
        <is>
          <t>DataStatus</t>
        </is>
      </c>
      <c r="C59" s="2" t="inlineStr">
        <is>
          <t>数据状态</t>
        </is>
      </c>
      <c r="D59" s="2" t="inlineStr">
        <is>
          <t>文本</t>
        </is>
      </c>
      <c r="E59" s="2" t="inlineStr">
        <is>
          <t>源表数据保留；新增参数待填</t>
        </is>
      </c>
      <c r="F59" s="2" t="inlineStr">
        <is>
          <t>原表/说明</t>
        </is>
      </c>
      <c r="G59" s="2" t="inlineStr">
        <is>
          <t>原有内容保留</t>
        </is>
      </c>
      <c r="H59" s="2" t="n"/>
      <c r="I59" s="2" t="n"/>
    </row>
    <row r="60" ht="66" customHeight="1">
      <c r="A60" s="2" t="inlineStr">
        <is>
          <t>抽水蓄能</t>
        </is>
      </c>
      <c r="B60" s="2" t="inlineStr">
        <is>
          <t>UnitKey</t>
        </is>
      </c>
      <c r="C60" s="2" t="inlineStr">
        <is>
          <t>机组唯一编号</t>
        </is>
      </c>
      <c r="D60" s="2" t="inlineStr">
        <is>
          <t>文本</t>
        </is>
      </c>
      <c r="E60" s="2" t="inlineStr">
        <is>
          <t>创建后固定，不随排序改变；新增机组用新编号</t>
        </is>
      </c>
      <c r="F60" s="2" t="inlineStr">
        <is>
          <t>新增稳定编号</t>
        </is>
      </c>
      <c r="G60" s="2" t="inlineStr">
        <is>
          <t>原有内容保留</t>
        </is>
      </c>
      <c r="H60" s="2" t="n"/>
      <c r="I60" s="2" t="n"/>
    </row>
    <row r="61" ht="66" customHeight="1">
      <c r="A61" s="2" t="inlineStr">
        <is>
          <t>抽水蓄能</t>
        </is>
      </c>
      <c r="B61" s="2" t="inlineStr">
        <is>
          <t>ID</t>
        </is>
      </c>
      <c r="C61" s="2" t="inlineStr">
        <is>
          <t>原始数据库编号</t>
        </is>
      </c>
      <c r="D61" s="2" t="inlineStr">
        <is>
          <t>原值</t>
        </is>
      </c>
      <c r="E61" s="2" t="inlineStr">
        <is>
          <t>原Excel超长数字已可能失真，不用作关联键</t>
        </is>
      </c>
      <c r="F61" s="2" t="inlineStr">
        <is>
          <t>原表/说明</t>
        </is>
      </c>
      <c r="G61" s="2" t="inlineStr">
        <is>
          <t>原有内容保留</t>
        </is>
      </c>
      <c r="H61" s="2" t="n"/>
      <c r="I61" s="2" t="n"/>
    </row>
    <row r="62" ht="66" customHeight="1">
      <c r="A62" s="2" t="inlineStr">
        <is>
          <t>抽水蓄能</t>
        </is>
      </c>
      <c r="B62" s="2" t="inlineStr">
        <is>
          <t>NAME</t>
        </is>
      </c>
      <c r="C62" s="2" t="inlineStr">
        <is>
          <t>机组名称</t>
        </is>
      </c>
      <c r="D62" s="2" t="inlineStr">
        <is>
          <t>文本</t>
        </is>
      </c>
      <c r="E62" s="2" t="inlineStr">
        <is>
          <t>保留源表</t>
        </is>
      </c>
      <c r="F62" s="2" t="inlineStr">
        <is>
          <t>原表/说明</t>
        </is>
      </c>
      <c r="G62" s="2" t="inlineStr">
        <is>
          <t>原有内容保留</t>
        </is>
      </c>
      <c r="H62" s="2" t="n"/>
      <c r="I62" s="2" t="n"/>
    </row>
    <row r="63" ht="66" customHeight="1">
      <c r="A63" s="2" t="inlineStr">
        <is>
          <t>抽水蓄能</t>
        </is>
      </c>
      <c r="B63" s="2" t="inlineStr">
        <is>
          <t>SUBSTR(C.ID，12)</t>
        </is>
      </c>
      <c r="C63" s="2" t="inlineStr">
        <is>
          <t>分区编号</t>
        </is>
      </c>
      <c r="D63" s="2" t="inlineStr">
        <is>
          <t>编号</t>
        </is>
      </c>
      <c r="E63" s="2" t="inlineStr">
        <is>
          <t>与分区表对应</t>
        </is>
      </c>
      <c r="F63" s="2" t="inlineStr">
        <is>
          <t>原表/说明</t>
        </is>
      </c>
      <c r="G63" s="2" t="inlineStr">
        <is>
          <t>原有内容保留</t>
        </is>
      </c>
      <c r="H63" s="2" t="n"/>
      <c r="I63" s="2" t="n"/>
    </row>
    <row r="64" ht="66" customHeight="1">
      <c r="A64" s="2" t="inlineStr">
        <is>
          <t>抽水蓄能</t>
        </is>
      </c>
      <c r="B64" s="2" t="inlineStr">
        <is>
          <t>PLANT_ID</t>
        </is>
      </c>
      <c r="C64" s="2" t="inlineStr">
        <is>
          <t>原电厂编号</t>
        </is>
      </c>
      <c r="D64" s="2" t="inlineStr">
        <is>
          <t>原值</t>
        </is>
      </c>
      <c r="E64" s="2" t="inlineStr">
        <is>
          <t>保留源表</t>
        </is>
      </c>
      <c r="F64" s="2" t="inlineStr">
        <is>
          <t>原表/说明</t>
        </is>
      </c>
      <c r="G64" s="2" t="inlineStr">
        <is>
          <t>原有内容保留</t>
        </is>
      </c>
      <c r="H64" s="2" t="n"/>
      <c r="I64" s="2" t="n"/>
    </row>
    <row r="65" ht="66" customHeight="1">
      <c r="A65" s="2" t="inlineStr">
        <is>
          <t>抽水蓄能</t>
        </is>
      </c>
      <c r="B65" s="2" t="inlineStr">
        <is>
          <t>CAP</t>
        </is>
      </c>
      <c r="C65" s="2" t="inlineStr">
        <is>
          <t>额定容量</t>
        </is>
      </c>
      <c r="D65" s="2" t="inlineStr">
        <is>
          <t>MW</t>
        </is>
      </c>
      <c r="E65" s="2" t="inlineStr">
        <is>
          <t>源表</t>
        </is>
      </c>
      <c r="F65" s="2" t="inlineStr">
        <is>
          <t>原表/说明</t>
        </is>
      </c>
      <c r="G65" s="2" t="inlineStr">
        <is>
          <t>原有内容保留</t>
        </is>
      </c>
      <c r="H65" s="2" t="n"/>
      <c r="I65" s="2" t="n"/>
    </row>
    <row r="66" ht="66" customHeight="1">
      <c r="A66" s="2" t="inlineStr">
        <is>
          <t>抽水蓄能</t>
        </is>
      </c>
      <c r="B66" s="2" t="inlineStr">
        <is>
          <t>MIN_POWER_GEN</t>
        </is>
      </c>
      <c r="C66" s="2" t="inlineStr">
        <is>
          <t>最小技术出力</t>
        </is>
      </c>
      <c r="D66" s="2" t="inlineStr">
        <is>
          <t>MW</t>
        </is>
      </c>
      <c r="E66" s="2" t="inlineStr">
        <is>
          <t>抽蓄原字段为带符号值，不作为抽水下限</t>
        </is>
      </c>
      <c r="F66" s="2" t="inlineStr">
        <is>
          <t>原表/说明</t>
        </is>
      </c>
      <c r="G66" s="2" t="inlineStr">
        <is>
          <t>原有内容保留</t>
        </is>
      </c>
      <c r="H66" s="2" t="n"/>
      <c r="I66" s="2" t="n"/>
    </row>
    <row r="67" ht="66" customHeight="1">
      <c r="A67" s="2" t="inlineStr">
        <is>
          <t>抽水蓄能</t>
        </is>
      </c>
      <c r="B67" s="2" t="inlineStr">
        <is>
          <t>MIN_DOWN_TIME</t>
        </is>
      </c>
      <c r="C67" s="2" t="inlineStr">
        <is>
          <t>最小连续停机时间</t>
        </is>
      </c>
      <c r="D67" s="2" t="inlineStr">
        <is>
          <t>h</t>
        </is>
      </c>
      <c r="E67" s="2" t="inlineStr">
        <is>
          <t>源表</t>
        </is>
      </c>
      <c r="F67" s="2" t="inlineStr">
        <is>
          <t>原表/说明</t>
        </is>
      </c>
      <c r="G67" s="2" t="inlineStr">
        <is>
          <t>原有内容保留</t>
        </is>
      </c>
      <c r="H67" s="2" t="n"/>
      <c r="I67" s="2" t="n"/>
    </row>
    <row r="68" ht="66" customHeight="1">
      <c r="A68" s="2" t="inlineStr">
        <is>
          <t>抽水蓄能</t>
        </is>
      </c>
      <c r="B68" s="2" t="inlineStr">
        <is>
          <t>MIN_UP_TIME</t>
        </is>
      </c>
      <c r="C68" s="2" t="inlineStr">
        <is>
          <t>最小连续开机时间</t>
        </is>
      </c>
      <c r="D68" s="2" t="inlineStr">
        <is>
          <t>h</t>
        </is>
      </c>
      <c r="E68" s="2" t="inlineStr">
        <is>
          <t>源表，核实时间口径</t>
        </is>
      </c>
      <c r="F68" s="2" t="inlineStr">
        <is>
          <t>原表/说明</t>
        </is>
      </c>
      <c r="G68" s="2" t="inlineStr">
        <is>
          <t>原有内容保留</t>
        </is>
      </c>
      <c r="H68" s="2" t="n"/>
      <c r="I68" s="2" t="n"/>
    </row>
    <row r="69" ht="66" customHeight="1">
      <c r="A69" s="2" t="inlineStr">
        <is>
          <t>抽水蓄能</t>
        </is>
      </c>
      <c r="B69" s="2" t="inlineStr">
        <is>
          <t>RAMP_LIMIT_UP</t>
        </is>
      </c>
      <c r="C69" s="2" t="inlineStr">
        <is>
          <t>向上爬坡</t>
        </is>
      </c>
      <c r="D69" s="2" t="inlineStr">
        <is>
          <t>MW/时段</t>
        </is>
      </c>
      <c r="E69" s="2" t="inlineStr">
        <is>
          <t>需确认原始时段长度</t>
        </is>
      </c>
      <c r="F69" s="2" t="inlineStr">
        <is>
          <t>原表/说明</t>
        </is>
      </c>
      <c r="G69" s="2" t="inlineStr">
        <is>
          <t>原有内容保留</t>
        </is>
      </c>
      <c r="H69" s="2" t="n"/>
      <c r="I69" s="2" t="n"/>
    </row>
    <row r="70" ht="66" customHeight="1">
      <c r="A70" s="2" t="inlineStr">
        <is>
          <t>抽水蓄能</t>
        </is>
      </c>
      <c r="B70" s="2" t="inlineStr">
        <is>
          <t>RAMP_LIMIT_DOWN</t>
        </is>
      </c>
      <c r="C70" s="2" t="inlineStr">
        <is>
          <t>向下爬坡</t>
        </is>
      </c>
      <c r="D70" s="2" t="inlineStr">
        <is>
          <t>MW/时段</t>
        </is>
      </c>
      <c r="E70" s="2" t="inlineStr">
        <is>
          <t>需确认原始时段长度</t>
        </is>
      </c>
      <c r="F70" s="2" t="inlineStr">
        <is>
          <t>原表/说明</t>
        </is>
      </c>
      <c r="G70" s="2" t="inlineStr">
        <is>
          <t>原有内容保留</t>
        </is>
      </c>
      <c r="H70" s="2" t="n"/>
      <c r="I70" s="2" t="n"/>
    </row>
    <row r="71" ht="66" customHeight="1">
      <c r="A71" s="2" t="inlineStr">
        <is>
          <t>抽水蓄能</t>
        </is>
      </c>
      <c r="B71" s="2" t="inlineStr">
        <is>
          <t>COST_A</t>
        </is>
      </c>
      <c r="C71" s="2" t="inlineStr">
        <is>
          <t>燃料二次项</t>
        </is>
      </c>
      <c r="D71" s="2" t="inlineStr">
        <is>
          <t>原货币单位/(h·MW²)</t>
        </is>
      </c>
      <c r="E71" s="2" t="inlineStr">
        <is>
          <t>需确认原货币单位</t>
        </is>
      </c>
      <c r="F71" s="2" t="inlineStr">
        <is>
          <t>原表/说明</t>
        </is>
      </c>
      <c r="G71" s="2" t="inlineStr">
        <is>
          <t>原有内容保留</t>
        </is>
      </c>
      <c r="H71" s="2" t="n"/>
      <c r="I71" s="2" t="n"/>
    </row>
    <row r="72" ht="66" customHeight="1">
      <c r="A72" s="2" t="inlineStr">
        <is>
          <t>抽水蓄能</t>
        </is>
      </c>
      <c r="B72" s="2" t="inlineStr">
        <is>
          <t>COST_B</t>
        </is>
      </c>
      <c r="C72" s="2" t="inlineStr">
        <is>
          <t>燃料一次项</t>
        </is>
      </c>
      <c r="D72" s="2" t="inlineStr">
        <is>
          <t>原货币单位/MWh</t>
        </is>
      </c>
      <c r="E72" s="2" t="inlineStr">
        <is>
          <t>不自动作为气电GEN_COST</t>
        </is>
      </c>
      <c r="F72" s="2" t="inlineStr">
        <is>
          <t>原表/说明</t>
        </is>
      </c>
      <c r="G72" s="2" t="inlineStr">
        <is>
          <t>原有内容保留</t>
        </is>
      </c>
      <c r="H72" s="2" t="n"/>
      <c r="I72" s="2" t="n"/>
    </row>
    <row r="73" ht="66" customHeight="1">
      <c r="A73" s="2" t="inlineStr">
        <is>
          <t>抽水蓄能</t>
        </is>
      </c>
      <c r="B73" s="2" t="inlineStr">
        <is>
          <t>COST_C</t>
        </is>
      </c>
      <c r="C73" s="2" t="inlineStr">
        <is>
          <t>燃料常数项</t>
        </is>
      </c>
      <c r="D73" s="2" t="inlineStr">
        <is>
          <t>原货币单位/h</t>
        </is>
      </c>
      <c r="E73" s="2" t="inlineStr">
        <is>
          <t>煤电在线空载成本</t>
        </is>
      </c>
      <c r="F73" s="2" t="inlineStr">
        <is>
          <t>原表/说明</t>
        </is>
      </c>
      <c r="G73" s="2" t="inlineStr">
        <is>
          <t>原有内容保留</t>
        </is>
      </c>
      <c r="H73" s="2" t="n"/>
      <c r="I73" s="2" t="n"/>
    </row>
    <row r="74" ht="66" customHeight="1">
      <c r="A74" s="2" t="inlineStr">
        <is>
          <t>抽水蓄能</t>
        </is>
      </c>
      <c r="B74" s="2" t="inlineStr">
        <is>
          <t>COST_START_UP</t>
        </is>
      </c>
      <c r="C74" s="2" t="inlineStr">
        <is>
          <t>启动成本</t>
        </is>
      </c>
      <c r="D74" s="2" t="inlineStr">
        <is>
          <t>原货币单位/次</t>
        </is>
      </c>
      <c r="E74" s="2" t="inlineStr">
        <is>
          <t>源表</t>
        </is>
      </c>
      <c r="F74" s="2" t="inlineStr">
        <is>
          <t>原表/说明</t>
        </is>
      </c>
      <c r="G74" s="2" t="inlineStr">
        <is>
          <t>原有内容保留</t>
        </is>
      </c>
      <c r="H74" s="2" t="n"/>
      <c r="I74" s="2" t="n"/>
    </row>
    <row r="75" ht="66" customHeight="1">
      <c r="A75" s="2" t="inlineStr">
        <is>
          <t>抽水蓄能</t>
        </is>
      </c>
      <c r="B75" s="2" t="inlineStr">
        <is>
          <t>COST_SHUT_DOWN</t>
        </is>
      </c>
      <c r="C75" s="2" t="inlineStr">
        <is>
          <t>停机成本</t>
        </is>
      </c>
      <c r="D75" s="2" t="inlineStr">
        <is>
          <t>原货币单位/次</t>
        </is>
      </c>
      <c r="E75" s="2" t="inlineStr">
        <is>
          <t>源表</t>
        </is>
      </c>
      <c r="F75" s="2" t="inlineStr">
        <is>
          <t>原表/说明</t>
        </is>
      </c>
      <c r="G75" s="2" t="inlineStr">
        <is>
          <t>原有内容保留</t>
        </is>
      </c>
      <c r="H75" s="2" t="n"/>
      <c r="I75" s="2" t="n"/>
    </row>
    <row r="76" ht="66" customHeight="1">
      <c r="A76" s="2" t="inlineStr">
        <is>
          <t>抽水蓄能</t>
        </is>
      </c>
      <c r="B76" s="2" t="inlineStr">
        <is>
          <t>MIN_POWER_CHARGE</t>
        </is>
      </c>
      <c r="C76" s="2" t="inlineStr">
        <is>
          <t>原抽水功率下限</t>
        </is>
      </c>
      <c r="D76" s="2" t="inlineStr">
        <is>
          <t>MW</t>
        </is>
      </c>
      <c r="E76" s="2" t="inlineStr">
        <is>
          <t>保留带符号原值</t>
        </is>
      </c>
      <c r="F76" s="2" t="inlineStr">
        <is>
          <t>原表/说明</t>
        </is>
      </c>
      <c r="G76" s="2" t="inlineStr">
        <is>
          <t>原有内容保留</t>
        </is>
      </c>
      <c r="H76" s="2" t="n"/>
      <c r="I76" s="2" t="n"/>
    </row>
    <row r="77" ht="66" customHeight="1">
      <c r="A77" s="2" t="inlineStr">
        <is>
          <t>抽水蓄能</t>
        </is>
      </c>
      <c r="B77" s="2" t="inlineStr">
        <is>
          <t>MAX_POWER_CHARGE</t>
        </is>
      </c>
      <c r="C77" s="2" t="inlineStr">
        <is>
          <t>最大抽水功率</t>
        </is>
      </c>
      <c r="D77" s="2" t="inlineStr">
        <is>
          <t>MW</t>
        </is>
      </c>
      <c r="E77" s="2" t="inlineStr">
        <is>
          <t>正向吸收功率</t>
        </is>
      </c>
      <c r="F77" s="2" t="inlineStr">
        <is>
          <t>原表/说明</t>
        </is>
      </c>
      <c r="G77" s="2" t="inlineStr">
        <is>
          <t>原有内容保留</t>
        </is>
      </c>
      <c r="H77" s="2" t="n"/>
      <c r="I77" s="2" t="n"/>
    </row>
    <row r="78" ht="66" customHeight="1">
      <c r="A78" s="2" t="inlineStr">
        <is>
          <t>抽水蓄能</t>
        </is>
      </c>
      <c r="B78" s="2" t="inlineStr">
        <is>
          <t>GEN_AFFI_FACTOR</t>
        </is>
      </c>
      <c r="C78" s="2" t="inlineStr">
        <is>
          <t>发电效率</t>
        </is>
      </c>
      <c r="D78" s="2" t="inlineStr">
        <is>
          <t>0~1</t>
        </is>
      </c>
      <c r="E78" s="2" t="inlineStr">
        <is>
          <t>源表</t>
        </is>
      </c>
      <c r="F78" s="2" t="inlineStr">
        <is>
          <t>原表/说明</t>
        </is>
      </c>
      <c r="G78" s="2" t="inlineStr">
        <is>
          <t>原有内容保留</t>
        </is>
      </c>
      <c r="H78" s="2" t="n"/>
      <c r="I78" s="2" t="n"/>
    </row>
    <row r="79" ht="66" customHeight="1">
      <c r="A79" s="2" t="inlineStr">
        <is>
          <t>抽水蓄能</t>
        </is>
      </c>
      <c r="B79" s="2" t="inlineStr">
        <is>
          <t>CHAEGE_AFFI_FACTOR</t>
        </is>
      </c>
      <c r="C79" s="2" t="inlineStr">
        <is>
          <t>抽水效率</t>
        </is>
      </c>
      <c r="D79" s="2" t="inlineStr">
        <is>
          <t>0~1</t>
        </is>
      </c>
      <c r="E79" s="2" t="inlineStr">
        <is>
          <t>沿用源表拼写</t>
        </is>
      </c>
      <c r="F79" s="2" t="inlineStr">
        <is>
          <t>原表/说明</t>
        </is>
      </c>
      <c r="G79" s="2" t="inlineStr">
        <is>
          <t>原有内容保留</t>
        </is>
      </c>
      <c r="H79" s="2" t="n"/>
      <c r="I79" s="2" t="n"/>
    </row>
    <row r="80" ht="66" customHeight="1">
      <c r="A80" s="2" t="inlineStr">
        <is>
          <t>抽水蓄能</t>
        </is>
      </c>
      <c r="B80" s="2" t="inlineStr">
        <is>
          <t>PUMP_MIN_MW</t>
        </is>
      </c>
      <c r="C80" s="2" t="inlineStr">
        <is>
          <t>最小抽水吸收功率</t>
        </is>
      </c>
      <c r="D80" s="2" t="inlineStr">
        <is>
          <t>MW</t>
        </is>
      </c>
      <c r="E80" s="2" t="inlineStr">
        <is>
          <t>待填；定速泵可等于最大抽水功率</t>
        </is>
      </c>
      <c r="F80" s="2" t="inlineStr">
        <is>
          <t>公开资料与算例假设区分见右侧</t>
        </is>
      </c>
      <c r="G80" s="2" t="inlineStr">
        <is>
          <t>定速等值假设：抽水时取原MAX_POWER_CHARGE；原发电/抽水效率各0.8保留，往返0.64，非新调研效率。</t>
        </is>
      </c>
      <c r="H80" s="2" t="inlineStr">
        <is>
          <t>假设</t>
        </is>
      </c>
      <c r="I80" s="2" t="n"/>
    </row>
    <row r="81" ht="66" customHeight="1">
      <c r="A81" s="2" t="inlineStr">
        <is>
          <t>抽水蓄能</t>
        </is>
      </c>
      <c r="B81" s="2" t="inlineStr">
        <is>
          <t>ENERGY_MWH</t>
        </is>
      </c>
      <c r="C81" s="2" t="inlineStr">
        <is>
          <t>最大等效储能容量</t>
        </is>
      </c>
      <c r="D81" s="2" t="inlineStr">
        <is>
          <t>MWh</t>
        </is>
      </c>
      <c r="E81" s="2" t="inlineStr">
        <is>
          <t>待填；共用水库不得重复计容量</t>
        </is>
      </c>
      <c r="F81" s="2" t="inlineStr">
        <is>
          <t>公开资料与算例假设区分见右侧</t>
        </is>
      </c>
      <c r="G81" s="2" t="inlineStr">
        <is>
          <t>SOC=0.1/0.9/0.5；假设可满功率发电6h。内部库能量=CAP×6/[原发电效率×(0.9−0.1)]；按单机分配，不能每台重复整库容量。</t>
        </is>
      </c>
      <c r="H81" s="2" t="inlineStr">
        <is>
          <t>假设</t>
        </is>
      </c>
      <c r="I81" s="2" t="n"/>
    </row>
    <row r="82" ht="66" customHeight="1">
      <c r="A82" s="2" t="inlineStr">
        <is>
          <t>抽水蓄能</t>
        </is>
      </c>
      <c r="B82" s="2" t="inlineStr">
        <is>
          <t>SOC_MIN</t>
        </is>
      </c>
      <c r="C82" s="2" t="inlineStr">
        <is>
          <t>最小SOC</t>
        </is>
      </c>
      <c r="D82" s="2" t="inlineStr">
        <is>
          <t>0~1</t>
        </is>
      </c>
      <c r="E82" s="2" t="inlineStr">
        <is>
          <t>待填</t>
        </is>
      </c>
      <c r="F82" s="2" t="inlineStr">
        <is>
          <t>公开资料与算例假设区分见右侧</t>
        </is>
      </c>
      <c r="G82" s="2" t="inlineStr">
        <is>
          <t>SOC=0.1/0.9/0.5；假设可满功率发电6h。内部库能量=CAP×6/[原发电效率×(0.9−0.1)]；按单机分配，不能每台重复整库容量。</t>
        </is>
      </c>
      <c r="H82" s="2" t="inlineStr">
        <is>
          <t>假设</t>
        </is>
      </c>
      <c r="I82" s="2" t="n"/>
    </row>
    <row r="83" ht="66" customHeight="1">
      <c r="A83" s="2" t="inlineStr">
        <is>
          <t>抽水蓄能</t>
        </is>
      </c>
      <c r="B83" s="2" t="inlineStr">
        <is>
          <t>SOC_MAX</t>
        </is>
      </c>
      <c r="C83" s="2" t="inlineStr">
        <is>
          <t>最大SOC</t>
        </is>
      </c>
      <c r="D83" s="2" t="inlineStr">
        <is>
          <t>0~1</t>
        </is>
      </c>
      <c r="E83" s="2" t="inlineStr">
        <is>
          <t>待填</t>
        </is>
      </c>
      <c r="F83" s="2" t="inlineStr">
        <is>
          <t>公开资料与算例假设区分见右侧</t>
        </is>
      </c>
      <c r="G83" s="2" t="inlineStr">
        <is>
          <t>SOC=0.1/0.9/0.5；假设可满功率发电6h。内部库能量=CAP×6/[原发电效率×(0.9−0.1)]；按单机分配，不能每台重复整库容量。</t>
        </is>
      </c>
      <c r="H83" s="2" t="inlineStr">
        <is>
          <t>假设</t>
        </is>
      </c>
      <c r="I83" s="2" t="n"/>
    </row>
    <row r="84" ht="66" customHeight="1">
      <c r="A84" s="2" t="inlineStr">
        <is>
          <t>抽水蓄能</t>
        </is>
      </c>
      <c r="B84" s="2" t="inlineStr">
        <is>
          <t>SOC_INITIAL</t>
        </is>
      </c>
      <c r="C84" s="2" t="inlineStr">
        <is>
          <t>初始SOC</t>
        </is>
      </c>
      <c r="D84" s="2" t="inlineStr">
        <is>
          <t>0~1</t>
        </is>
      </c>
      <c r="E84" s="2" t="inlineStr">
        <is>
          <t>待填</t>
        </is>
      </c>
      <c r="F84" s="2" t="inlineStr">
        <is>
          <t>公开资料与算例假设区分见右侧</t>
        </is>
      </c>
      <c r="G84" s="2" t="inlineStr">
        <is>
          <t>SOC=0.1/0.9/0.5；假设可满功率发电6h。内部库能量=CAP×6/[原发电效率×(0.9−0.1)]；按单机分配，不能每台重复整库容量。</t>
        </is>
      </c>
      <c r="H84" s="2" t="inlineStr">
        <is>
          <t>假设</t>
        </is>
      </c>
      <c r="I84" s="2" t="n"/>
    </row>
    <row r="85" ht="66" customHeight="1">
      <c r="A85" s="2" t="inlineStr">
        <is>
          <t>抽水蓄能</t>
        </is>
      </c>
      <c r="B85" s="2" t="inlineStr">
        <is>
          <t>FOM_COST_PERIOD</t>
        </is>
      </c>
      <c r="C85" s="2" t="inlineStr">
        <is>
          <t>本周期固定运维系数</t>
        </is>
      </c>
      <c r="D85" s="2" t="inlineStr">
        <is>
          <t>万元/MW·基准期</t>
        </is>
      </c>
      <c r="E85" s="2" t="inlineStr">
        <is>
          <t>输入对应fixedCostReferenceHours小时；MATLAB自动折算到T小时。</t>
        </is>
      </c>
      <c r="F85" s="2" t="inlineStr">
        <is>
          <t>公开资料与算例假设区分见右侧</t>
        </is>
      </c>
      <c r="G85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85" s="2" t="inlineStr">
        <is>
          <t>算例基准2023</t>
        </is>
      </c>
      <c r="I85" s="2" t="inlineStr">
        <is>
          <t>本目录 synergy_jiangsu_25_legacy.m；运维比例为假设</t>
        </is>
      </c>
    </row>
    <row r="86" ht="66" customHeight="1">
      <c r="A86" s="2" t="inlineStr">
        <is>
          <t>抽水蓄能</t>
        </is>
      </c>
      <c r="B86" s="2" t="inlineStr">
        <is>
          <t>DataStatus</t>
        </is>
      </c>
      <c r="C86" s="2" t="inlineStr">
        <is>
          <t>数据状态</t>
        </is>
      </c>
      <c r="D86" s="2" t="inlineStr">
        <is>
          <t>文本</t>
        </is>
      </c>
      <c r="E86" s="2" t="inlineStr">
        <is>
          <t>源表数据保留；新增参数待填</t>
        </is>
      </c>
      <c r="F86" s="2" t="inlineStr">
        <is>
          <t>原表/说明</t>
        </is>
      </c>
      <c r="G86" s="2" t="inlineStr">
        <is>
          <t>原有内容保留</t>
        </is>
      </c>
      <c r="H86" s="2" t="n"/>
      <c r="I86" s="2" t="n"/>
    </row>
    <row r="87" ht="66" customHeight="1">
      <c r="A87" s="2" t="inlineStr">
        <is>
          <t>核电</t>
        </is>
      </c>
      <c r="B87" s="2" t="inlineStr">
        <is>
          <t>UnitKey</t>
        </is>
      </c>
      <c r="C87" s="2" t="inlineStr">
        <is>
          <t>机组唯一编号</t>
        </is>
      </c>
      <c r="D87" s="2" t="inlineStr">
        <is>
          <t>文本</t>
        </is>
      </c>
      <c r="E87" s="2" t="inlineStr">
        <is>
          <t>创建后固定，不随排序改变；新增机组用新编号</t>
        </is>
      </c>
      <c r="F87" s="2" t="inlineStr">
        <is>
          <t>新增稳定编号</t>
        </is>
      </c>
      <c r="G87" s="2" t="inlineStr">
        <is>
          <t>原有内容保留</t>
        </is>
      </c>
      <c r="H87" s="2" t="n"/>
      <c r="I87" s="2" t="n"/>
    </row>
    <row r="88" ht="66" customHeight="1">
      <c r="A88" s="2" t="inlineStr">
        <is>
          <t>核电</t>
        </is>
      </c>
      <c r="B88" s="2" t="inlineStr">
        <is>
          <t>ID</t>
        </is>
      </c>
      <c r="C88" s="2" t="inlineStr">
        <is>
          <t>原始数据库编号</t>
        </is>
      </c>
      <c r="D88" s="2" t="inlineStr">
        <is>
          <t>原值</t>
        </is>
      </c>
      <c r="E88" s="2" t="inlineStr">
        <is>
          <t>原Excel超长数字已可能失真，不用作关联键</t>
        </is>
      </c>
      <c r="F88" s="2" t="inlineStr">
        <is>
          <t>原表/说明</t>
        </is>
      </c>
      <c r="G88" s="2" t="inlineStr">
        <is>
          <t>原有内容保留</t>
        </is>
      </c>
      <c r="H88" s="2" t="n"/>
      <c r="I88" s="2" t="n"/>
    </row>
    <row r="89" ht="66" customHeight="1">
      <c r="A89" s="2" t="inlineStr">
        <is>
          <t>核电</t>
        </is>
      </c>
      <c r="B89" s="2" t="inlineStr">
        <is>
          <t>NAME</t>
        </is>
      </c>
      <c r="C89" s="2" t="inlineStr">
        <is>
          <t>机组名称</t>
        </is>
      </c>
      <c r="D89" s="2" t="inlineStr">
        <is>
          <t>文本</t>
        </is>
      </c>
      <c r="E89" s="2" t="inlineStr">
        <is>
          <t>保留源表</t>
        </is>
      </c>
      <c r="F89" s="2" t="inlineStr">
        <is>
          <t>原表/说明</t>
        </is>
      </c>
      <c r="G89" s="2" t="inlineStr">
        <is>
          <t>原有内容保留</t>
        </is>
      </c>
      <c r="H89" s="2" t="n"/>
      <c r="I89" s="2" t="n"/>
    </row>
    <row r="90" ht="66" customHeight="1">
      <c r="A90" s="2" t="inlineStr">
        <is>
          <t>核电</t>
        </is>
      </c>
      <c r="B90" s="2" t="inlineStr">
        <is>
          <t>SUBSTR(C.ID，12)</t>
        </is>
      </c>
      <c r="C90" s="2" t="inlineStr">
        <is>
          <t>分区编号</t>
        </is>
      </c>
      <c r="D90" s="2" t="inlineStr">
        <is>
          <t>编号</t>
        </is>
      </c>
      <c r="E90" s="2" t="inlineStr">
        <is>
          <t>与分区表对应</t>
        </is>
      </c>
      <c r="F90" s="2" t="inlineStr">
        <is>
          <t>原表/说明</t>
        </is>
      </c>
      <c r="G90" s="2" t="inlineStr">
        <is>
          <t>原有内容保留</t>
        </is>
      </c>
      <c r="H90" s="2" t="n"/>
      <c r="I90" s="2" t="n"/>
    </row>
    <row r="91" ht="66" customHeight="1">
      <c r="A91" s="2" t="inlineStr">
        <is>
          <t>核电</t>
        </is>
      </c>
      <c r="B91" s="2" t="inlineStr">
        <is>
          <t>PLANT_ID</t>
        </is>
      </c>
      <c r="C91" s="2" t="inlineStr">
        <is>
          <t>原电厂编号</t>
        </is>
      </c>
      <c r="D91" s="2" t="inlineStr">
        <is>
          <t>原值</t>
        </is>
      </c>
      <c r="E91" s="2" t="inlineStr">
        <is>
          <t>保留源表</t>
        </is>
      </c>
      <c r="F91" s="2" t="inlineStr">
        <is>
          <t>原表/说明</t>
        </is>
      </c>
      <c r="G91" s="2" t="inlineStr">
        <is>
          <t>原有内容保留</t>
        </is>
      </c>
      <c r="H91" s="2" t="n"/>
      <c r="I91" s="2" t="n"/>
    </row>
    <row r="92" ht="66" customHeight="1">
      <c r="A92" s="2" t="inlineStr">
        <is>
          <t>核电</t>
        </is>
      </c>
      <c r="B92" s="2" t="inlineStr">
        <is>
          <t>CAP</t>
        </is>
      </c>
      <c r="C92" s="2" t="inlineStr">
        <is>
          <t>额定容量</t>
        </is>
      </c>
      <c r="D92" s="2" t="inlineStr">
        <is>
          <t>MW</t>
        </is>
      </c>
      <c r="E92" s="2" t="inlineStr">
        <is>
          <t>源表</t>
        </is>
      </c>
      <c r="F92" s="2" t="inlineStr">
        <is>
          <t>原表/说明</t>
        </is>
      </c>
      <c r="G92" s="2" t="inlineStr">
        <is>
          <t>原有内容保留</t>
        </is>
      </c>
      <c r="H92" s="2" t="n"/>
      <c r="I92" s="2" t="n"/>
    </row>
    <row r="93" ht="66" customHeight="1">
      <c r="A93" s="2" t="inlineStr">
        <is>
          <t>核电</t>
        </is>
      </c>
      <c r="B93" s="2" t="inlineStr">
        <is>
          <t>MIN_POWER_GEN</t>
        </is>
      </c>
      <c r="C93" s="2" t="inlineStr">
        <is>
          <t>最小技术出力</t>
        </is>
      </c>
      <c r="D93" s="2" t="inlineStr">
        <is>
          <t>MW</t>
        </is>
      </c>
      <c r="E93" s="2" t="inlineStr">
        <is>
          <t>抽蓄原字段为带符号值，不作为抽水下限</t>
        </is>
      </c>
      <c r="F93" s="2" t="inlineStr">
        <is>
          <t>原表/说明</t>
        </is>
      </c>
      <c r="G93" s="2" t="inlineStr">
        <is>
          <t>原有内容保留</t>
        </is>
      </c>
      <c r="H93" s="2" t="n"/>
      <c r="I93" s="2" t="n"/>
    </row>
    <row r="94" ht="66" customHeight="1">
      <c r="A94" s="2" t="inlineStr">
        <is>
          <t>核电</t>
        </is>
      </c>
      <c r="B94" s="2" t="inlineStr">
        <is>
          <t>MIN_DOWN_TIME</t>
        </is>
      </c>
      <c r="C94" s="2" t="inlineStr">
        <is>
          <t>最小连续停机时间</t>
        </is>
      </c>
      <c r="D94" s="2" t="inlineStr">
        <is>
          <t>h</t>
        </is>
      </c>
      <c r="E94" s="2" t="inlineStr">
        <is>
          <t>源表</t>
        </is>
      </c>
      <c r="F94" s="2" t="inlineStr">
        <is>
          <t>原表/说明</t>
        </is>
      </c>
      <c r="G94" s="2" t="inlineStr">
        <is>
          <t>原有内容保留</t>
        </is>
      </c>
      <c r="H94" s="2" t="n"/>
      <c r="I94" s="2" t="n"/>
    </row>
    <row r="95" ht="66" customHeight="1">
      <c r="A95" s="2" t="inlineStr">
        <is>
          <t>核电</t>
        </is>
      </c>
      <c r="B95" s="2" t="inlineStr">
        <is>
          <t>MIN_UP_TIME</t>
        </is>
      </c>
      <c r="C95" s="2" t="inlineStr">
        <is>
          <t>最小连续开机时间</t>
        </is>
      </c>
      <c r="D95" s="2" t="inlineStr">
        <is>
          <t>h</t>
        </is>
      </c>
      <c r="E95" s="2" t="inlineStr">
        <is>
          <t>源表，核实时间口径</t>
        </is>
      </c>
      <c r="F95" s="2" t="inlineStr">
        <is>
          <t>原表/说明</t>
        </is>
      </c>
      <c r="G95" s="2" t="inlineStr">
        <is>
          <t>原有内容保留</t>
        </is>
      </c>
      <c r="H95" s="2" t="n"/>
      <c r="I95" s="2" t="n"/>
    </row>
    <row r="96" ht="66" customHeight="1">
      <c r="A96" s="2" t="inlineStr">
        <is>
          <t>核电</t>
        </is>
      </c>
      <c r="B96" s="2" t="inlineStr">
        <is>
          <t>RAMP_LIMIT_UP</t>
        </is>
      </c>
      <c r="C96" s="2" t="inlineStr">
        <is>
          <t>向上爬坡</t>
        </is>
      </c>
      <c r="D96" s="2" t="inlineStr">
        <is>
          <t>MW/时段</t>
        </is>
      </c>
      <c r="E96" s="2" t="inlineStr">
        <is>
          <t>需确认原始时段长度</t>
        </is>
      </c>
      <c r="F96" s="2" t="inlineStr">
        <is>
          <t>原表/说明</t>
        </is>
      </c>
      <c r="G96" s="2" t="inlineStr">
        <is>
          <t>原有内容保留</t>
        </is>
      </c>
      <c r="H96" s="2" t="n"/>
      <c r="I96" s="2" t="n"/>
    </row>
    <row r="97" ht="66" customHeight="1">
      <c r="A97" s="2" t="inlineStr">
        <is>
          <t>核电</t>
        </is>
      </c>
      <c r="B97" s="2" t="inlineStr">
        <is>
          <t>RAMP_LIMIT_DOWN</t>
        </is>
      </c>
      <c r="C97" s="2" t="inlineStr">
        <is>
          <t>向下爬坡</t>
        </is>
      </c>
      <c r="D97" s="2" t="inlineStr">
        <is>
          <t>MW/时段</t>
        </is>
      </c>
      <c r="E97" s="2" t="inlineStr">
        <is>
          <t>需确认原始时段长度</t>
        </is>
      </c>
      <c r="F97" s="2" t="inlineStr">
        <is>
          <t>原表/说明</t>
        </is>
      </c>
      <c r="G97" s="2" t="inlineStr">
        <is>
          <t>原有内容保留</t>
        </is>
      </c>
      <c r="H97" s="2" t="n"/>
      <c r="I97" s="2" t="n"/>
    </row>
    <row r="98" ht="66" customHeight="1">
      <c r="A98" s="2" t="inlineStr">
        <is>
          <t>核电</t>
        </is>
      </c>
      <c r="B98" s="2" t="inlineStr">
        <is>
          <t>COST_A</t>
        </is>
      </c>
      <c r="C98" s="2" t="inlineStr">
        <is>
          <t>燃料二次项</t>
        </is>
      </c>
      <c r="D98" s="2" t="inlineStr">
        <is>
          <t>原货币单位/(h·MW²)</t>
        </is>
      </c>
      <c r="E98" s="2" t="inlineStr">
        <is>
          <t>需确认原货币单位</t>
        </is>
      </c>
      <c r="F98" s="2" t="inlineStr">
        <is>
          <t>原表/说明</t>
        </is>
      </c>
      <c r="G98" s="2" t="inlineStr">
        <is>
          <t>原有内容保留</t>
        </is>
      </c>
      <c r="H98" s="2" t="n"/>
      <c r="I98" s="2" t="n"/>
    </row>
    <row r="99" ht="66" customHeight="1">
      <c r="A99" s="2" t="inlineStr">
        <is>
          <t>核电</t>
        </is>
      </c>
      <c r="B99" s="2" t="inlineStr">
        <is>
          <t>COST_B</t>
        </is>
      </c>
      <c r="C99" s="2" t="inlineStr">
        <is>
          <t>燃料一次项</t>
        </is>
      </c>
      <c r="D99" s="2" t="inlineStr">
        <is>
          <t>原货币单位/MWh</t>
        </is>
      </c>
      <c r="E99" s="2" t="inlineStr">
        <is>
          <t>不自动作为气电GEN_COST</t>
        </is>
      </c>
      <c r="F99" s="2" t="inlineStr">
        <is>
          <t>原表/说明</t>
        </is>
      </c>
      <c r="G99" s="2" t="inlineStr">
        <is>
          <t>原有内容保留</t>
        </is>
      </c>
      <c r="H99" s="2" t="n"/>
      <c r="I99" s="2" t="n"/>
    </row>
    <row r="100" ht="66" customHeight="1">
      <c r="A100" s="2" t="inlineStr">
        <is>
          <t>核电</t>
        </is>
      </c>
      <c r="B100" s="2" t="inlineStr">
        <is>
          <t>COST_C</t>
        </is>
      </c>
      <c r="C100" s="2" t="inlineStr">
        <is>
          <t>燃料常数项</t>
        </is>
      </c>
      <c r="D100" s="2" t="inlineStr">
        <is>
          <t>原货币单位/h</t>
        </is>
      </c>
      <c r="E100" s="2" t="inlineStr">
        <is>
          <t>煤电在线空载成本</t>
        </is>
      </c>
      <c r="F100" s="2" t="inlineStr">
        <is>
          <t>原表/说明</t>
        </is>
      </c>
      <c r="G100" s="2" t="inlineStr">
        <is>
          <t>原有内容保留</t>
        </is>
      </c>
      <c r="H100" s="2" t="n"/>
      <c r="I100" s="2" t="n"/>
    </row>
    <row r="101" ht="66" customHeight="1">
      <c r="A101" s="2" t="inlineStr">
        <is>
          <t>核电</t>
        </is>
      </c>
      <c r="B101" s="2" t="inlineStr">
        <is>
          <t>COST_START_UP</t>
        </is>
      </c>
      <c r="C101" s="2" t="inlineStr">
        <is>
          <t>启动成本</t>
        </is>
      </c>
      <c r="D101" s="2" t="inlineStr">
        <is>
          <t>原货币单位/次</t>
        </is>
      </c>
      <c r="E101" s="2" t="inlineStr">
        <is>
          <t>源表</t>
        </is>
      </c>
      <c r="F101" s="2" t="inlineStr">
        <is>
          <t>原表/说明</t>
        </is>
      </c>
      <c r="G101" s="2" t="inlineStr">
        <is>
          <t>原有内容保留</t>
        </is>
      </c>
      <c r="H101" s="2" t="n"/>
      <c r="I101" s="2" t="n"/>
    </row>
    <row r="102" ht="66" customHeight="1">
      <c r="A102" s="2" t="inlineStr">
        <is>
          <t>核电</t>
        </is>
      </c>
      <c r="B102" s="2" t="inlineStr">
        <is>
          <t>COST_SHUT_DOWN</t>
        </is>
      </c>
      <c r="C102" s="2" t="inlineStr">
        <is>
          <t>停机成本</t>
        </is>
      </c>
      <c r="D102" s="2" t="inlineStr">
        <is>
          <t>原货币单位/次</t>
        </is>
      </c>
      <c r="E102" s="2" t="inlineStr">
        <is>
          <t>源表</t>
        </is>
      </c>
      <c r="F102" s="2" t="inlineStr">
        <is>
          <t>原表/说明</t>
        </is>
      </c>
      <c r="G102" s="2" t="inlineStr">
        <is>
          <t>原有内容保留</t>
        </is>
      </c>
      <c r="H102" s="2" t="n"/>
      <c r="I102" s="2" t="n"/>
    </row>
    <row r="103" ht="66" customHeight="1">
      <c r="A103" s="2" t="inlineStr">
        <is>
          <t>核电</t>
        </is>
      </c>
      <c r="B103" s="2" t="inlineStr">
        <is>
          <t>MIN_POWER_CHARGE</t>
        </is>
      </c>
      <c r="C103" s="2" t="inlineStr">
        <is>
          <t>原抽水功率下限</t>
        </is>
      </c>
      <c r="D103" s="2" t="inlineStr">
        <is>
          <t>MW</t>
        </is>
      </c>
      <c r="E103" s="2" t="inlineStr">
        <is>
          <t>保留带符号原值</t>
        </is>
      </c>
      <c r="F103" s="2" t="inlineStr">
        <is>
          <t>原表/说明</t>
        </is>
      </c>
      <c r="G103" s="2" t="inlineStr">
        <is>
          <t>原有内容保留</t>
        </is>
      </c>
      <c r="H103" s="2" t="n"/>
      <c r="I103" s="2" t="n"/>
    </row>
    <row r="104" ht="66" customHeight="1">
      <c r="A104" s="2" t="inlineStr">
        <is>
          <t>核电</t>
        </is>
      </c>
      <c r="B104" s="2" t="inlineStr">
        <is>
          <t>MAX_POWER_CHARGE</t>
        </is>
      </c>
      <c r="C104" s="2" t="inlineStr">
        <is>
          <t>最大抽水功率</t>
        </is>
      </c>
      <c r="D104" s="2" t="inlineStr">
        <is>
          <t>MW</t>
        </is>
      </c>
      <c r="E104" s="2" t="inlineStr">
        <is>
          <t>正向吸收功率</t>
        </is>
      </c>
      <c r="F104" s="2" t="inlineStr">
        <is>
          <t>原表/说明</t>
        </is>
      </c>
      <c r="G104" s="2" t="inlineStr">
        <is>
          <t>原有内容保留</t>
        </is>
      </c>
      <c r="H104" s="2" t="n"/>
      <c r="I104" s="2" t="n"/>
    </row>
    <row r="105" ht="66" customHeight="1">
      <c r="A105" s="2" t="inlineStr">
        <is>
          <t>核电</t>
        </is>
      </c>
      <c r="B105" s="2" t="inlineStr">
        <is>
          <t>GEN_AFFI_FACTOR</t>
        </is>
      </c>
      <c r="C105" s="2" t="inlineStr">
        <is>
          <t>发电效率</t>
        </is>
      </c>
      <c r="D105" s="2" t="inlineStr">
        <is>
          <t>0~1</t>
        </is>
      </c>
      <c r="E105" s="2" t="inlineStr">
        <is>
          <t>源表</t>
        </is>
      </c>
      <c r="F105" s="2" t="inlineStr">
        <is>
          <t>原表/说明</t>
        </is>
      </c>
      <c r="G105" s="2" t="inlineStr">
        <is>
          <t>原有内容保留</t>
        </is>
      </c>
      <c r="H105" s="2" t="n"/>
      <c r="I105" s="2" t="n"/>
    </row>
    <row r="106" ht="66" customHeight="1">
      <c r="A106" s="2" t="inlineStr">
        <is>
          <t>核电</t>
        </is>
      </c>
      <c r="B106" s="2" t="inlineStr">
        <is>
          <t>CHAEGE_AFFI_FACTOR</t>
        </is>
      </c>
      <c r="C106" s="2" t="inlineStr">
        <is>
          <t>抽水效率</t>
        </is>
      </c>
      <c r="D106" s="2" t="inlineStr">
        <is>
          <t>0~1</t>
        </is>
      </c>
      <c r="E106" s="2" t="inlineStr">
        <is>
          <t>沿用源表拼写</t>
        </is>
      </c>
      <c r="F106" s="2" t="inlineStr">
        <is>
          <t>原表/说明</t>
        </is>
      </c>
      <c r="G106" s="2" t="inlineStr">
        <is>
          <t>原有内容保留</t>
        </is>
      </c>
      <c r="H106" s="2" t="n"/>
      <c r="I106" s="2" t="n"/>
    </row>
    <row r="107" ht="66" customHeight="1">
      <c r="A107" s="2" t="inlineStr">
        <is>
          <t>核电</t>
        </is>
      </c>
      <c r="B107" s="2" t="inlineStr">
        <is>
          <t>INIT_POWER</t>
        </is>
      </c>
      <c r="C107" s="2" t="inlineStr">
        <is>
          <t>周期前功率</t>
        </is>
      </c>
      <c r="D107" s="2" t="inlineStr">
        <is>
          <t>MW</t>
        </is>
      </c>
      <c r="E107" s="2" t="inlineStr">
        <is>
          <t>待填，与初始状态一致</t>
        </is>
      </c>
      <c r="F107" s="2" t="inlineStr">
        <is>
          <t>公开资料与算例假设区分见右侧</t>
        </is>
      </c>
      <c r="G107" s="2" t="inlineStr">
        <is>
          <t>算例初态：前一小时不检修，功率取原最小出力；保留当前10条外生示例检修。</t>
        </is>
      </c>
      <c r="H107" s="2" t="inlineStr">
        <is>
          <t>假设</t>
        </is>
      </c>
      <c r="I107" s="2" t="n"/>
    </row>
    <row r="108" ht="66" customHeight="1">
      <c r="A108" s="2" t="inlineStr">
        <is>
          <t>核电</t>
        </is>
      </c>
      <c r="B108" s="2" t="inlineStr">
        <is>
          <t>FOM_COST_PERIOD</t>
        </is>
      </c>
      <c r="C108" s="2" t="inlineStr">
        <is>
          <t>本周期固定运维系数</t>
        </is>
      </c>
      <c r="D108" s="2" t="inlineStr">
        <is>
          <t>万元/MW·基准期</t>
        </is>
      </c>
      <c r="E108" s="2" t="inlineStr">
        <is>
          <t>输入对应fixedCostReferenceHours小时；MATLAB自动折算到T小时。</t>
        </is>
      </c>
      <c r="F108" s="2" t="inlineStr">
        <is>
          <t>公开资料与算例假设区分见右侧</t>
        </is>
      </c>
      <c r="G108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08" s="2" t="inlineStr">
        <is>
          <t>算例基准2023</t>
        </is>
      </c>
      <c r="I108" s="2" t="inlineStr">
        <is>
          <t>本目录 synergy_jiangsu_25_legacy.m；运维比例为假设</t>
        </is>
      </c>
    </row>
    <row r="109" ht="66" customHeight="1">
      <c r="A109" s="2" t="inlineStr">
        <is>
          <t>核电</t>
        </is>
      </c>
      <c r="B109" s="2" t="inlineStr">
        <is>
          <t>INIT_MAINTENANCE</t>
        </is>
      </c>
      <c r="C109" s="2" t="inlineStr">
        <is>
          <t>周期前检修状态</t>
        </is>
      </c>
      <c r="D109" s="2" t="inlineStr">
        <is>
          <t>0/1</t>
        </is>
      </c>
      <c r="E109" s="2" t="inlineStr">
        <is>
          <t>待填</t>
        </is>
      </c>
      <c r="F109" s="2" t="inlineStr">
        <is>
          <t>公开资料与算例假设区分见右侧</t>
        </is>
      </c>
      <c r="G109" s="2" t="inlineStr">
        <is>
          <t>算例初态：前一小时不检修，功率取原最小出力；保留当前10条外生示例检修。</t>
        </is>
      </c>
      <c r="H109" s="2" t="inlineStr">
        <is>
          <t>假设</t>
        </is>
      </c>
      <c r="I109" s="2" t="n"/>
    </row>
    <row r="110" ht="66" customHeight="1">
      <c r="A110" s="2" t="inlineStr">
        <is>
          <t>核电</t>
        </is>
      </c>
      <c r="B110" s="2" t="inlineStr">
        <is>
          <t>GEN_COST</t>
        </is>
      </c>
      <c r="C110" s="2" t="inlineStr">
        <is>
          <t>单位发电成本</t>
        </is>
      </c>
      <c r="D110" s="2" t="inlineStr">
        <is>
          <t>原货币单位/MWh</t>
        </is>
      </c>
      <c r="E110" s="2" t="inlineStr">
        <is>
          <t>待填，不擅自转换旧成本系数</t>
        </is>
      </c>
      <c r="F110" s="2" t="inlineStr">
        <is>
          <t>公开资料与算例假设区分见右侧</t>
        </is>
      </c>
      <c r="G110" s="2" t="inlineStr">
        <is>
          <t>旧模型气400、核100、生物质400元/MWh作为算例基准，除以10000写入；不代表当前燃料报价或上网电价。</t>
        </is>
      </c>
      <c r="H110" s="2" t="inlineStr">
        <is>
          <t>本地算例假设</t>
        </is>
      </c>
      <c r="I110" s="2" t="inlineStr">
        <is>
          <t>本目录 synergy_jiangsu_25_legacy.m</t>
        </is>
      </c>
    </row>
    <row r="111" ht="66" customHeight="1">
      <c r="A111" s="2" t="inlineStr">
        <is>
          <t>核电</t>
        </is>
      </c>
      <c r="B111" s="2" t="inlineStr">
        <is>
          <t>DataStatus</t>
        </is>
      </c>
      <c r="C111" s="2" t="inlineStr">
        <is>
          <t>数据状态</t>
        </is>
      </c>
      <c r="D111" s="2" t="inlineStr">
        <is>
          <t>文本</t>
        </is>
      </c>
      <c r="E111" s="2" t="inlineStr">
        <is>
          <t>源表数据保留；新增参数待填</t>
        </is>
      </c>
      <c r="F111" s="2" t="inlineStr">
        <is>
          <t>原表/说明</t>
        </is>
      </c>
      <c r="G111" s="2" t="inlineStr">
        <is>
          <t>原有内容保留</t>
        </is>
      </c>
      <c r="H111" s="2" t="n"/>
      <c r="I111" s="2" t="n"/>
    </row>
    <row r="112" ht="66" customHeight="1">
      <c r="A112" s="2" t="inlineStr">
        <is>
          <t>生物质</t>
        </is>
      </c>
      <c r="B112" s="2" t="inlineStr">
        <is>
          <t>UnitKey</t>
        </is>
      </c>
      <c r="C112" s="2" t="inlineStr">
        <is>
          <t>机组唯一编号</t>
        </is>
      </c>
      <c r="D112" s="2" t="inlineStr">
        <is>
          <t>文本</t>
        </is>
      </c>
      <c r="E112" s="2" t="inlineStr">
        <is>
          <t>创建后固定，不随排序改变；新增机组用新编号</t>
        </is>
      </c>
      <c r="F112" s="2" t="inlineStr">
        <is>
          <t>新增稳定编号</t>
        </is>
      </c>
      <c r="G112" s="2" t="inlineStr">
        <is>
          <t>原有内容保留</t>
        </is>
      </c>
      <c r="H112" s="2" t="n"/>
      <c r="I112" s="2" t="n"/>
    </row>
    <row r="113" ht="66" customHeight="1">
      <c r="A113" s="2" t="inlineStr">
        <is>
          <t>生物质</t>
        </is>
      </c>
      <c r="B113" s="2" t="inlineStr">
        <is>
          <t>ID</t>
        </is>
      </c>
      <c r="C113" s="2" t="inlineStr">
        <is>
          <t>原始数据库编号</t>
        </is>
      </c>
      <c r="D113" s="2" t="inlineStr">
        <is>
          <t>原值</t>
        </is>
      </c>
      <c r="E113" s="2" t="inlineStr">
        <is>
          <t>原Excel超长数字已可能失真，不用作关联键</t>
        </is>
      </c>
      <c r="F113" s="2" t="inlineStr">
        <is>
          <t>原表/说明</t>
        </is>
      </c>
      <c r="G113" s="2" t="inlineStr">
        <is>
          <t>原有内容保留</t>
        </is>
      </c>
      <c r="H113" s="2" t="n"/>
      <c r="I113" s="2" t="n"/>
    </row>
    <row r="114" ht="66" customHeight="1">
      <c r="A114" s="2" t="inlineStr">
        <is>
          <t>生物质</t>
        </is>
      </c>
      <c r="B114" s="2" t="inlineStr">
        <is>
          <t>NAME</t>
        </is>
      </c>
      <c r="C114" s="2" t="inlineStr">
        <is>
          <t>机组名称</t>
        </is>
      </c>
      <c r="D114" s="2" t="inlineStr">
        <is>
          <t>文本</t>
        </is>
      </c>
      <c r="E114" s="2" t="inlineStr">
        <is>
          <t>保留源表</t>
        </is>
      </c>
      <c r="F114" s="2" t="inlineStr">
        <is>
          <t>原表/说明</t>
        </is>
      </c>
      <c r="G114" s="2" t="inlineStr">
        <is>
          <t>原有内容保留</t>
        </is>
      </c>
      <c r="H114" s="2" t="n"/>
      <c r="I114" s="2" t="n"/>
    </row>
    <row r="115" ht="66" customHeight="1">
      <c r="A115" s="2" t="inlineStr">
        <is>
          <t>生物质</t>
        </is>
      </c>
      <c r="B115" s="2" t="inlineStr">
        <is>
          <t>SUBSTR(C.ID，12)</t>
        </is>
      </c>
      <c r="C115" s="2" t="inlineStr">
        <is>
          <t>分区编号</t>
        </is>
      </c>
      <c r="D115" s="2" t="inlineStr">
        <is>
          <t>编号</t>
        </is>
      </c>
      <c r="E115" s="2" t="inlineStr">
        <is>
          <t>与分区表对应</t>
        </is>
      </c>
      <c r="F115" s="2" t="inlineStr">
        <is>
          <t>原表/说明</t>
        </is>
      </c>
      <c r="G115" s="2" t="inlineStr">
        <is>
          <t>原有内容保留</t>
        </is>
      </c>
      <c r="H115" s="2" t="n"/>
      <c r="I115" s="2" t="n"/>
    </row>
    <row r="116" ht="66" customHeight="1">
      <c r="A116" s="2" t="inlineStr">
        <is>
          <t>生物质</t>
        </is>
      </c>
      <c r="B116" s="2" t="inlineStr">
        <is>
          <t>PLANT_ID</t>
        </is>
      </c>
      <c r="C116" s="2" t="inlineStr">
        <is>
          <t>原电厂编号</t>
        </is>
      </c>
      <c r="D116" s="2" t="inlineStr">
        <is>
          <t>原值</t>
        </is>
      </c>
      <c r="E116" s="2" t="inlineStr">
        <is>
          <t>保留源表</t>
        </is>
      </c>
      <c r="F116" s="2" t="inlineStr">
        <is>
          <t>原表/说明</t>
        </is>
      </c>
      <c r="G116" s="2" t="inlineStr">
        <is>
          <t>原有内容保留</t>
        </is>
      </c>
      <c r="H116" s="2" t="n"/>
      <c r="I116" s="2" t="n"/>
    </row>
    <row r="117" ht="66" customHeight="1">
      <c r="A117" s="2" t="inlineStr">
        <is>
          <t>生物质</t>
        </is>
      </c>
      <c r="B117" s="2" t="inlineStr">
        <is>
          <t>CAP</t>
        </is>
      </c>
      <c r="C117" s="2" t="inlineStr">
        <is>
          <t>额定容量</t>
        </is>
      </c>
      <c r="D117" s="2" t="inlineStr">
        <is>
          <t>MW</t>
        </is>
      </c>
      <c r="E117" s="2" t="inlineStr">
        <is>
          <t>源表</t>
        </is>
      </c>
      <c r="F117" s="2" t="inlineStr">
        <is>
          <t>原表/说明</t>
        </is>
      </c>
      <c r="G117" s="2" t="inlineStr">
        <is>
          <t>原有内容保留</t>
        </is>
      </c>
      <c r="H117" s="2" t="n"/>
      <c r="I117" s="2" t="n"/>
    </row>
    <row r="118" ht="66" customHeight="1">
      <c r="A118" s="2" t="inlineStr">
        <is>
          <t>生物质</t>
        </is>
      </c>
      <c r="B118" s="2" t="inlineStr">
        <is>
          <t>MIN_POWER_GEN</t>
        </is>
      </c>
      <c r="C118" s="2" t="inlineStr">
        <is>
          <t>最小技术出力</t>
        </is>
      </c>
      <c r="D118" s="2" t="inlineStr">
        <is>
          <t>MW</t>
        </is>
      </c>
      <c r="E118" s="2" t="inlineStr">
        <is>
          <t>抽蓄原字段为带符号值，不作为抽水下限</t>
        </is>
      </c>
      <c r="F118" s="2" t="inlineStr">
        <is>
          <t>原表/说明</t>
        </is>
      </c>
      <c r="G118" s="2" t="inlineStr">
        <is>
          <t>原有内容保留</t>
        </is>
      </c>
      <c r="H118" s="2" t="n"/>
      <c r="I118" s="2" t="n"/>
    </row>
    <row r="119" ht="66" customHeight="1">
      <c r="A119" s="2" t="inlineStr">
        <is>
          <t>生物质</t>
        </is>
      </c>
      <c r="B119" s="2" t="inlineStr">
        <is>
          <t>MIN_DOWN_TIME</t>
        </is>
      </c>
      <c r="C119" s="2" t="inlineStr">
        <is>
          <t>最小连续停机时间</t>
        </is>
      </c>
      <c r="D119" s="2" t="inlineStr">
        <is>
          <t>h</t>
        </is>
      </c>
      <c r="E119" s="2" t="inlineStr">
        <is>
          <t>源表</t>
        </is>
      </c>
      <c r="F119" s="2" t="inlineStr">
        <is>
          <t>原表/说明</t>
        </is>
      </c>
      <c r="G119" s="2" t="inlineStr">
        <is>
          <t>原有内容保留</t>
        </is>
      </c>
      <c r="H119" s="2" t="n"/>
      <c r="I119" s="2" t="n"/>
    </row>
    <row r="120" ht="66" customHeight="1">
      <c r="A120" s="2" t="inlineStr">
        <is>
          <t>生物质</t>
        </is>
      </c>
      <c r="B120" s="2" t="inlineStr">
        <is>
          <t>MIN_UP_TIME</t>
        </is>
      </c>
      <c r="C120" s="2" t="inlineStr">
        <is>
          <t>最小连续开机时间</t>
        </is>
      </c>
      <c r="D120" s="2" t="inlineStr">
        <is>
          <t>h</t>
        </is>
      </c>
      <c r="E120" s="2" t="inlineStr">
        <is>
          <t>源表，核实时间口径</t>
        </is>
      </c>
      <c r="F120" s="2" t="inlineStr">
        <is>
          <t>原表/说明</t>
        </is>
      </c>
      <c r="G120" s="2" t="inlineStr">
        <is>
          <t>原有内容保留</t>
        </is>
      </c>
      <c r="H120" s="2" t="n"/>
      <c r="I120" s="2" t="n"/>
    </row>
    <row r="121" ht="66" customHeight="1">
      <c r="A121" s="2" t="inlineStr">
        <is>
          <t>生物质</t>
        </is>
      </c>
      <c r="B121" s="2" t="inlineStr">
        <is>
          <t>RAMP_LIMIT_UP</t>
        </is>
      </c>
      <c r="C121" s="2" t="inlineStr">
        <is>
          <t>向上爬坡</t>
        </is>
      </c>
      <c r="D121" s="2" t="inlineStr">
        <is>
          <t>MW/时段</t>
        </is>
      </c>
      <c r="E121" s="2" t="inlineStr">
        <is>
          <t>需确认原始时段长度</t>
        </is>
      </c>
      <c r="F121" s="2" t="inlineStr">
        <is>
          <t>原表/说明</t>
        </is>
      </c>
      <c r="G121" s="2" t="inlineStr">
        <is>
          <t>原有内容保留</t>
        </is>
      </c>
      <c r="H121" s="2" t="n"/>
      <c r="I121" s="2" t="n"/>
    </row>
    <row r="122" ht="66" customHeight="1">
      <c r="A122" s="2" t="inlineStr">
        <is>
          <t>生物质</t>
        </is>
      </c>
      <c r="B122" s="2" t="inlineStr">
        <is>
          <t>RAMP_LIMIT_DOWN</t>
        </is>
      </c>
      <c r="C122" s="2" t="inlineStr">
        <is>
          <t>向下爬坡</t>
        </is>
      </c>
      <c r="D122" s="2" t="inlineStr">
        <is>
          <t>MW/时段</t>
        </is>
      </c>
      <c r="E122" s="2" t="inlineStr">
        <is>
          <t>需确认原始时段长度</t>
        </is>
      </c>
      <c r="F122" s="2" t="inlineStr">
        <is>
          <t>原表/说明</t>
        </is>
      </c>
      <c r="G122" s="2" t="inlineStr">
        <is>
          <t>原有内容保留</t>
        </is>
      </c>
      <c r="H122" s="2" t="n"/>
      <c r="I122" s="2" t="n"/>
    </row>
    <row r="123" ht="66" customHeight="1">
      <c r="A123" s="2" t="inlineStr">
        <is>
          <t>生物质</t>
        </is>
      </c>
      <c r="B123" s="2" t="inlineStr">
        <is>
          <t>COST_A</t>
        </is>
      </c>
      <c r="C123" s="2" t="inlineStr">
        <is>
          <t>燃料二次项</t>
        </is>
      </c>
      <c r="D123" s="2" t="inlineStr">
        <is>
          <t>原货币单位/(h·MW²)</t>
        </is>
      </c>
      <c r="E123" s="2" t="inlineStr">
        <is>
          <t>需确认原货币单位</t>
        </is>
      </c>
      <c r="F123" s="2" t="inlineStr">
        <is>
          <t>原表/说明</t>
        </is>
      </c>
      <c r="G123" s="2" t="inlineStr">
        <is>
          <t>原有内容保留</t>
        </is>
      </c>
      <c r="H123" s="2" t="n"/>
      <c r="I123" s="2" t="n"/>
    </row>
    <row r="124" ht="66" customHeight="1">
      <c r="A124" s="2" t="inlineStr">
        <is>
          <t>生物质</t>
        </is>
      </c>
      <c r="B124" s="2" t="inlineStr">
        <is>
          <t>COST_B</t>
        </is>
      </c>
      <c r="C124" s="2" t="inlineStr">
        <is>
          <t>燃料一次项</t>
        </is>
      </c>
      <c r="D124" s="2" t="inlineStr">
        <is>
          <t>原货币单位/MWh</t>
        </is>
      </c>
      <c r="E124" s="2" t="inlineStr">
        <is>
          <t>不自动作为气电GEN_COST</t>
        </is>
      </c>
      <c r="F124" s="2" t="inlineStr">
        <is>
          <t>原表/说明</t>
        </is>
      </c>
      <c r="G124" s="2" t="inlineStr">
        <is>
          <t>原有内容保留</t>
        </is>
      </c>
      <c r="H124" s="2" t="n"/>
      <c r="I124" s="2" t="n"/>
    </row>
    <row r="125" ht="66" customHeight="1">
      <c r="A125" s="2" t="inlineStr">
        <is>
          <t>生物质</t>
        </is>
      </c>
      <c r="B125" s="2" t="inlineStr">
        <is>
          <t>COST_C</t>
        </is>
      </c>
      <c r="C125" s="2" t="inlineStr">
        <is>
          <t>燃料常数项</t>
        </is>
      </c>
      <c r="D125" s="2" t="inlineStr">
        <is>
          <t>原货币单位/h</t>
        </is>
      </c>
      <c r="E125" s="2" t="inlineStr">
        <is>
          <t>煤电在线空载成本</t>
        </is>
      </c>
      <c r="F125" s="2" t="inlineStr">
        <is>
          <t>原表/说明</t>
        </is>
      </c>
      <c r="G125" s="2" t="inlineStr">
        <is>
          <t>原有内容保留</t>
        </is>
      </c>
      <c r="H125" s="2" t="n"/>
      <c r="I125" s="2" t="n"/>
    </row>
    <row r="126" ht="66" customHeight="1">
      <c r="A126" s="2" t="inlineStr">
        <is>
          <t>生物质</t>
        </is>
      </c>
      <c r="B126" s="2" t="inlineStr">
        <is>
          <t>COST_START_UP</t>
        </is>
      </c>
      <c r="C126" s="2" t="inlineStr">
        <is>
          <t>启动成本</t>
        </is>
      </c>
      <c r="D126" s="2" t="inlineStr">
        <is>
          <t>原货币单位/次</t>
        </is>
      </c>
      <c r="E126" s="2" t="inlineStr">
        <is>
          <t>源表</t>
        </is>
      </c>
      <c r="F126" s="2" t="inlineStr">
        <is>
          <t>原表/说明</t>
        </is>
      </c>
      <c r="G126" s="2" t="inlineStr">
        <is>
          <t>原有内容保留</t>
        </is>
      </c>
      <c r="H126" s="2" t="n"/>
      <c r="I126" s="2" t="n"/>
    </row>
    <row r="127" ht="66" customHeight="1">
      <c r="A127" s="2" t="inlineStr">
        <is>
          <t>生物质</t>
        </is>
      </c>
      <c r="B127" s="2" t="inlineStr">
        <is>
          <t>COST_SHUT_DOWN</t>
        </is>
      </c>
      <c r="C127" s="2" t="inlineStr">
        <is>
          <t>停机成本</t>
        </is>
      </c>
      <c r="D127" s="2" t="inlineStr">
        <is>
          <t>原货币单位/次</t>
        </is>
      </c>
      <c r="E127" s="2" t="inlineStr">
        <is>
          <t>源表</t>
        </is>
      </c>
      <c r="F127" s="2" t="inlineStr">
        <is>
          <t>原表/说明</t>
        </is>
      </c>
      <c r="G127" s="2" t="inlineStr">
        <is>
          <t>原有内容保留</t>
        </is>
      </c>
      <c r="H127" s="2" t="n"/>
      <c r="I127" s="2" t="n"/>
    </row>
    <row r="128" ht="66" customHeight="1">
      <c r="A128" s="2" t="inlineStr">
        <is>
          <t>生物质</t>
        </is>
      </c>
      <c r="B128" s="2" t="inlineStr">
        <is>
          <t>MIN_POWER_CHARGE</t>
        </is>
      </c>
      <c r="C128" s="2" t="inlineStr">
        <is>
          <t>原抽水功率下限</t>
        </is>
      </c>
      <c r="D128" s="2" t="inlineStr">
        <is>
          <t>MW</t>
        </is>
      </c>
      <c r="E128" s="2" t="inlineStr">
        <is>
          <t>保留带符号原值</t>
        </is>
      </c>
      <c r="F128" s="2" t="inlineStr">
        <is>
          <t>原表/说明</t>
        </is>
      </c>
      <c r="G128" s="2" t="inlineStr">
        <is>
          <t>原有内容保留</t>
        </is>
      </c>
      <c r="H128" s="2" t="n"/>
      <c r="I128" s="2" t="n"/>
    </row>
    <row r="129" ht="66" customHeight="1">
      <c r="A129" s="2" t="inlineStr">
        <is>
          <t>生物质</t>
        </is>
      </c>
      <c r="B129" s="2" t="inlineStr">
        <is>
          <t>MAX_POWER_CHARGE</t>
        </is>
      </c>
      <c r="C129" s="2" t="inlineStr">
        <is>
          <t>最大抽水功率</t>
        </is>
      </c>
      <c r="D129" s="2" t="inlineStr">
        <is>
          <t>MW</t>
        </is>
      </c>
      <c r="E129" s="2" t="inlineStr">
        <is>
          <t>正向吸收功率</t>
        </is>
      </c>
      <c r="F129" s="2" t="inlineStr">
        <is>
          <t>原表/说明</t>
        </is>
      </c>
      <c r="G129" s="2" t="inlineStr">
        <is>
          <t>原有内容保留</t>
        </is>
      </c>
      <c r="H129" s="2" t="n"/>
      <c r="I129" s="2" t="n"/>
    </row>
    <row r="130" ht="66" customHeight="1">
      <c r="A130" s="2" t="inlineStr">
        <is>
          <t>生物质</t>
        </is>
      </c>
      <c r="B130" s="2" t="inlineStr">
        <is>
          <t>GEN_AFFI_FACTOR</t>
        </is>
      </c>
      <c r="C130" s="2" t="inlineStr">
        <is>
          <t>发电效率</t>
        </is>
      </c>
      <c r="D130" s="2" t="inlineStr">
        <is>
          <t>0~1</t>
        </is>
      </c>
      <c r="E130" s="2" t="inlineStr">
        <is>
          <t>源表</t>
        </is>
      </c>
      <c r="F130" s="2" t="inlineStr">
        <is>
          <t>原表/说明</t>
        </is>
      </c>
      <c r="G130" s="2" t="inlineStr">
        <is>
          <t>原有内容保留</t>
        </is>
      </c>
      <c r="H130" s="2" t="n"/>
      <c r="I130" s="2" t="n"/>
    </row>
    <row r="131" ht="66" customHeight="1">
      <c r="A131" s="2" t="inlineStr">
        <is>
          <t>生物质</t>
        </is>
      </c>
      <c r="B131" s="2" t="inlineStr">
        <is>
          <t>CHAEGE_AFFI_FACTOR</t>
        </is>
      </c>
      <c r="C131" s="2" t="inlineStr">
        <is>
          <t>抽水效率</t>
        </is>
      </c>
      <c r="D131" s="2" t="inlineStr">
        <is>
          <t>0~1</t>
        </is>
      </c>
      <c r="E131" s="2" t="inlineStr">
        <is>
          <t>沿用源表拼写</t>
        </is>
      </c>
      <c r="F131" s="2" t="inlineStr">
        <is>
          <t>原表/说明</t>
        </is>
      </c>
      <c r="G131" s="2" t="inlineStr">
        <is>
          <t>原有内容保留</t>
        </is>
      </c>
      <c r="H131" s="2" t="n"/>
      <c r="I131" s="2" t="n"/>
    </row>
    <row r="132" ht="66" customHeight="1">
      <c r="A132" s="2" t="inlineStr">
        <is>
          <t>生物质</t>
        </is>
      </c>
      <c r="B132" s="2" t="inlineStr">
        <is>
          <t>INIT_POWER</t>
        </is>
      </c>
      <c r="C132" s="2" t="inlineStr">
        <is>
          <t>周期前功率</t>
        </is>
      </c>
      <c r="D132" s="2" t="inlineStr">
        <is>
          <t>MW</t>
        </is>
      </c>
      <c r="E132" s="2" t="inlineStr">
        <is>
          <t>待填，与初始状态一致</t>
        </is>
      </c>
      <c r="F132" s="2" t="inlineStr">
        <is>
          <t>公开资料与算例假设区分见右侧</t>
        </is>
      </c>
      <c r="G132" s="2" t="inlineStr">
        <is>
          <t>算例初态：前一小时不检修，功率取原最小出力；保留当前10条外生示例检修。</t>
        </is>
      </c>
      <c r="H132" s="2" t="inlineStr">
        <is>
          <t>假设</t>
        </is>
      </c>
      <c r="I132" s="2" t="n"/>
    </row>
    <row r="133" ht="66" customHeight="1">
      <c r="A133" s="2" t="inlineStr">
        <is>
          <t>生物质</t>
        </is>
      </c>
      <c r="B133" s="2" t="inlineStr">
        <is>
          <t>FOM_COST_PERIOD</t>
        </is>
      </c>
      <c r="C133" s="2" t="inlineStr">
        <is>
          <t>本周期固定运维系数</t>
        </is>
      </c>
      <c r="D133" s="2" t="inlineStr">
        <is>
          <t>万元/MW·基准期</t>
        </is>
      </c>
      <c r="E133" s="2" t="inlineStr">
        <is>
          <t>输入对应fixedCostReferenceHours小时；MATLAB自动折算到T小时。</t>
        </is>
      </c>
      <c r="F133" s="2" t="inlineStr">
        <is>
          <t>公开资料与算例假设区分见右侧</t>
        </is>
      </c>
      <c r="G133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33" s="2" t="inlineStr">
        <is>
          <t>算例基准2023</t>
        </is>
      </c>
      <c r="I133" s="2" t="inlineStr">
        <is>
          <t>本目录 synergy_jiangsu_25_legacy.m；运维比例为假设</t>
        </is>
      </c>
    </row>
    <row r="134" ht="66" customHeight="1">
      <c r="A134" s="2" t="inlineStr">
        <is>
          <t>生物质</t>
        </is>
      </c>
      <c r="B134" s="2" t="inlineStr">
        <is>
          <t>INIT_MAINTENANCE</t>
        </is>
      </c>
      <c r="C134" s="2" t="inlineStr">
        <is>
          <t>周期前检修状态</t>
        </is>
      </c>
      <c r="D134" s="2" t="inlineStr">
        <is>
          <t>0/1</t>
        </is>
      </c>
      <c r="E134" s="2" t="inlineStr">
        <is>
          <t>待填</t>
        </is>
      </c>
      <c r="F134" s="2" t="inlineStr">
        <is>
          <t>公开资料与算例假设区分见右侧</t>
        </is>
      </c>
      <c r="G134" s="2" t="inlineStr">
        <is>
          <t>算例初态：前一小时不检修，功率取原最小出力；保留当前10条外生示例检修。</t>
        </is>
      </c>
      <c r="H134" s="2" t="inlineStr">
        <is>
          <t>假设</t>
        </is>
      </c>
      <c r="I134" s="2" t="n"/>
    </row>
    <row r="135" ht="66" customHeight="1">
      <c r="A135" s="2" t="inlineStr">
        <is>
          <t>生物质</t>
        </is>
      </c>
      <c r="B135" s="2" t="inlineStr">
        <is>
          <t>START_RAMP</t>
        </is>
      </c>
      <c r="C135" s="2" t="inlineStr">
        <is>
          <t>启动允许功率变化</t>
        </is>
      </c>
      <c r="D135" s="2" t="inlineStr">
        <is>
          <t>MW/时段</t>
        </is>
      </c>
      <c r="E135" s="2" t="inlineStr">
        <is>
          <t>待填</t>
        </is>
      </c>
      <c r="F135" s="2" t="inlineStr">
        <is>
          <t>公开资料与算例假设区分见右侧</t>
        </is>
      </c>
      <c r="G135" s="2" t="inlineStr">
        <is>
          <t>算例假设MW/h：煤电启动取原最小出力，其余启动取额定；停机均取额定。原运行爬坡值保留。</t>
        </is>
      </c>
      <c r="H135" s="2" t="inlineStr">
        <is>
          <t>假设</t>
        </is>
      </c>
      <c r="I135" s="2" t="n"/>
    </row>
    <row r="136" ht="66" customHeight="1">
      <c r="A136" s="2" t="inlineStr">
        <is>
          <t>生物质</t>
        </is>
      </c>
      <c r="B136" s="2" t="inlineStr">
        <is>
          <t>STOP_RAMP</t>
        </is>
      </c>
      <c r="C136" s="2" t="inlineStr">
        <is>
          <t>停机允许功率变化</t>
        </is>
      </c>
      <c r="D136" s="2" t="inlineStr">
        <is>
          <t>MW/时段</t>
        </is>
      </c>
      <c r="E136" s="2" t="inlineStr">
        <is>
          <t>待填</t>
        </is>
      </c>
      <c r="F136" s="2" t="inlineStr">
        <is>
          <t>公开资料与算例假设区分见右侧</t>
        </is>
      </c>
      <c r="G136" s="2" t="inlineStr">
        <is>
          <t>算例假设MW/h：煤电启动取原最小出力，其余启动取额定；停机均取额定。原运行爬坡值保留。</t>
        </is>
      </c>
      <c r="H136" s="2" t="inlineStr">
        <is>
          <t>假设</t>
        </is>
      </c>
      <c r="I136" s="2" t="n"/>
    </row>
    <row r="137" ht="66" customHeight="1">
      <c r="A137" s="2" t="inlineStr">
        <is>
          <t>生物质</t>
        </is>
      </c>
      <c r="B137" s="2" t="inlineStr">
        <is>
          <t>GEN_COST</t>
        </is>
      </c>
      <c r="C137" s="2" t="inlineStr">
        <is>
          <t>单位发电成本</t>
        </is>
      </c>
      <c r="D137" s="2" t="inlineStr">
        <is>
          <t>原货币单位/MWh</t>
        </is>
      </c>
      <c r="E137" s="2" t="inlineStr">
        <is>
          <t>待填，不擅自转换旧成本系数</t>
        </is>
      </c>
      <c r="F137" s="2" t="inlineStr">
        <is>
          <t>公开资料与算例假设区分见右侧</t>
        </is>
      </c>
      <c r="G137" s="2" t="inlineStr">
        <is>
          <t>旧模型气400、核100、生物质400元/MWh作为算例基准，除以10000写入；不代表当前燃料报价或上网电价。</t>
        </is>
      </c>
      <c r="H137" s="2" t="inlineStr">
        <is>
          <t>本地算例假设</t>
        </is>
      </c>
      <c r="I137" s="2" t="inlineStr">
        <is>
          <t>本目录 synergy_jiangsu_25_legacy.m</t>
        </is>
      </c>
    </row>
    <row r="138" ht="66" customHeight="1">
      <c r="A138" s="2" t="inlineStr">
        <is>
          <t>生物质</t>
        </is>
      </c>
      <c r="B138" s="2" t="inlineStr">
        <is>
          <t>DataStatus</t>
        </is>
      </c>
      <c r="C138" s="2" t="inlineStr">
        <is>
          <t>数据状态</t>
        </is>
      </c>
      <c r="D138" s="2" t="inlineStr">
        <is>
          <t>文本</t>
        </is>
      </c>
      <c r="E138" s="2" t="inlineStr">
        <is>
          <t>源表数据保留；新增参数待填</t>
        </is>
      </c>
      <c r="F138" s="2" t="inlineStr">
        <is>
          <t>原表/说明</t>
        </is>
      </c>
      <c r="G138" s="2" t="inlineStr">
        <is>
          <t>原有内容保留</t>
        </is>
      </c>
      <c r="H138" s="2" t="n"/>
      <c r="I138" s="2" t="n"/>
    </row>
    <row r="139" ht="66" customHeight="1">
      <c r="A139" s="2" t="inlineStr">
        <is>
          <t>其他规划</t>
        </is>
      </c>
      <c r="B139" s="2" t="inlineStr">
        <is>
          <t>UnitKey</t>
        </is>
      </c>
      <c r="C139" s="2" t="inlineStr">
        <is>
          <t>机组唯一编号</t>
        </is>
      </c>
      <c r="D139" s="2" t="inlineStr">
        <is>
          <t>文本</t>
        </is>
      </c>
      <c r="E139" s="2" t="inlineStr">
        <is>
          <t>创建后固定，不随排序改变；新增机组用新编号</t>
        </is>
      </c>
      <c r="F139" s="2" t="inlineStr">
        <is>
          <t>新增稳定编号</t>
        </is>
      </c>
      <c r="G139" s="2" t="inlineStr">
        <is>
          <t>原有内容保留</t>
        </is>
      </c>
      <c r="H139" s="2" t="n"/>
      <c r="I139" s="2" t="n"/>
    </row>
    <row r="140" ht="66" customHeight="1">
      <c r="A140" s="2" t="inlineStr">
        <is>
          <t>其他规划</t>
        </is>
      </c>
      <c r="B140" s="2" t="inlineStr">
        <is>
          <t>ID</t>
        </is>
      </c>
      <c r="C140" s="2" t="inlineStr">
        <is>
          <t>原始数据库编号</t>
        </is>
      </c>
      <c r="D140" s="2" t="inlineStr">
        <is>
          <t>原值</t>
        </is>
      </c>
      <c r="E140" s="2" t="inlineStr">
        <is>
          <t>原Excel超长数字已可能失真，不用作关联键</t>
        </is>
      </c>
      <c r="F140" s="2" t="inlineStr">
        <is>
          <t>原表/说明</t>
        </is>
      </c>
      <c r="G140" s="2" t="inlineStr">
        <is>
          <t>原有内容保留</t>
        </is>
      </c>
      <c r="H140" s="2" t="n"/>
      <c r="I140" s="2" t="n"/>
    </row>
    <row r="141" ht="66" customHeight="1">
      <c r="A141" s="2" t="inlineStr">
        <is>
          <t>其他规划</t>
        </is>
      </c>
      <c r="B141" s="2" t="inlineStr">
        <is>
          <t>NAME</t>
        </is>
      </c>
      <c r="C141" s="2" t="inlineStr">
        <is>
          <t>机组名称</t>
        </is>
      </c>
      <c r="D141" s="2" t="inlineStr">
        <is>
          <t>文本</t>
        </is>
      </c>
      <c r="E141" s="2" t="inlineStr">
        <is>
          <t>保留源表</t>
        </is>
      </c>
      <c r="F141" s="2" t="inlineStr">
        <is>
          <t>原表/说明</t>
        </is>
      </c>
      <c r="G141" s="2" t="inlineStr">
        <is>
          <t>原有内容保留</t>
        </is>
      </c>
      <c r="H141" s="2" t="n"/>
      <c r="I141" s="2" t="n"/>
    </row>
    <row r="142" ht="66" customHeight="1">
      <c r="A142" s="2" t="inlineStr">
        <is>
          <t>其他规划</t>
        </is>
      </c>
      <c r="B142" s="2" t="inlineStr">
        <is>
          <t>SUBSTR(C.ID，12)</t>
        </is>
      </c>
      <c r="C142" s="2" t="inlineStr">
        <is>
          <t>分区编号</t>
        </is>
      </c>
      <c r="D142" s="2" t="inlineStr">
        <is>
          <t>编号</t>
        </is>
      </c>
      <c r="E142" s="2" t="inlineStr">
        <is>
          <t>与分区表对应</t>
        </is>
      </c>
      <c r="F142" s="2" t="inlineStr">
        <is>
          <t>原表/说明</t>
        </is>
      </c>
      <c r="G142" s="2" t="inlineStr">
        <is>
          <t>原有内容保留</t>
        </is>
      </c>
      <c r="H142" s="2" t="n"/>
      <c r="I142" s="2" t="n"/>
    </row>
    <row r="143" ht="66" customHeight="1">
      <c r="A143" s="2" t="inlineStr">
        <is>
          <t>其他规划</t>
        </is>
      </c>
      <c r="B143" s="2" t="inlineStr">
        <is>
          <t>PLANT_ID</t>
        </is>
      </c>
      <c r="C143" s="2" t="inlineStr">
        <is>
          <t>原电厂编号</t>
        </is>
      </c>
      <c r="D143" s="2" t="inlineStr">
        <is>
          <t>原值</t>
        </is>
      </c>
      <c r="E143" s="2" t="inlineStr">
        <is>
          <t>保留源表</t>
        </is>
      </c>
      <c r="F143" s="2" t="inlineStr">
        <is>
          <t>原表/说明</t>
        </is>
      </c>
      <c r="G143" s="2" t="inlineStr">
        <is>
          <t>原有内容保留</t>
        </is>
      </c>
      <c r="H143" s="2" t="n"/>
      <c r="I143" s="2" t="n"/>
    </row>
    <row r="144" ht="66" customHeight="1">
      <c r="A144" s="2" t="inlineStr">
        <is>
          <t>其他规划</t>
        </is>
      </c>
      <c r="B144" s="2" t="inlineStr">
        <is>
          <t>CAP</t>
        </is>
      </c>
      <c r="C144" s="2" t="inlineStr">
        <is>
          <t>额定容量</t>
        </is>
      </c>
      <c r="D144" s="2" t="inlineStr">
        <is>
          <t>MW</t>
        </is>
      </c>
      <c r="E144" s="2" t="inlineStr">
        <is>
          <t>源表</t>
        </is>
      </c>
      <c r="F144" s="2" t="inlineStr">
        <is>
          <t>原表/说明</t>
        </is>
      </c>
      <c r="G144" s="2" t="inlineStr">
        <is>
          <t>原有内容保留</t>
        </is>
      </c>
      <c r="H144" s="2" t="n"/>
      <c r="I144" s="2" t="n"/>
    </row>
    <row r="145" ht="66" customHeight="1">
      <c r="A145" s="2" t="inlineStr">
        <is>
          <t>其他规划</t>
        </is>
      </c>
      <c r="B145" s="2" t="inlineStr">
        <is>
          <t>MIN_POWER_GEN</t>
        </is>
      </c>
      <c r="C145" s="2" t="inlineStr">
        <is>
          <t>最小技术出力</t>
        </is>
      </c>
      <c r="D145" s="2" t="inlineStr">
        <is>
          <t>MW</t>
        </is>
      </c>
      <c r="E145" s="2" t="inlineStr">
        <is>
          <t>抽蓄原字段为带符号值，不作为抽水下限</t>
        </is>
      </c>
      <c r="F145" s="2" t="inlineStr">
        <is>
          <t>原表/说明</t>
        </is>
      </c>
      <c r="G145" s="2" t="inlineStr">
        <is>
          <t>原有内容保留</t>
        </is>
      </c>
      <c r="H145" s="2" t="n"/>
      <c r="I145" s="2" t="n"/>
    </row>
    <row r="146" ht="66" customHeight="1">
      <c r="A146" s="2" t="inlineStr">
        <is>
          <t>其他规划</t>
        </is>
      </c>
      <c r="B146" s="2" t="inlineStr">
        <is>
          <t>MIN_DOWN_TIME</t>
        </is>
      </c>
      <c r="C146" s="2" t="inlineStr">
        <is>
          <t>最小连续停机时间</t>
        </is>
      </c>
      <c r="D146" s="2" t="inlineStr">
        <is>
          <t>h</t>
        </is>
      </c>
      <c r="E146" s="2" t="inlineStr">
        <is>
          <t>源表</t>
        </is>
      </c>
      <c r="F146" s="2" t="inlineStr">
        <is>
          <t>原表/说明</t>
        </is>
      </c>
      <c r="G146" s="2" t="inlineStr">
        <is>
          <t>原有内容保留</t>
        </is>
      </c>
      <c r="H146" s="2" t="n"/>
      <c r="I146" s="2" t="n"/>
    </row>
    <row r="147" ht="66" customHeight="1">
      <c r="A147" s="2" t="inlineStr">
        <is>
          <t>其他规划</t>
        </is>
      </c>
      <c r="B147" s="2" t="inlineStr">
        <is>
          <t>MIN_UP_TIME</t>
        </is>
      </c>
      <c r="C147" s="2" t="inlineStr">
        <is>
          <t>最小连续开机时间</t>
        </is>
      </c>
      <c r="D147" s="2" t="inlineStr">
        <is>
          <t>h</t>
        </is>
      </c>
      <c r="E147" s="2" t="inlineStr">
        <is>
          <t>源表，核实时间口径</t>
        </is>
      </c>
      <c r="F147" s="2" t="inlineStr">
        <is>
          <t>原表/说明</t>
        </is>
      </c>
      <c r="G147" s="2" t="inlineStr">
        <is>
          <t>原有内容保留</t>
        </is>
      </c>
      <c r="H147" s="2" t="n"/>
      <c r="I147" s="2" t="n"/>
    </row>
    <row r="148" ht="66" customHeight="1">
      <c r="A148" s="2" t="inlineStr">
        <is>
          <t>其他规划</t>
        </is>
      </c>
      <c r="B148" s="2" t="inlineStr">
        <is>
          <t>RAMP_LIMIT_UP</t>
        </is>
      </c>
      <c r="C148" s="2" t="inlineStr">
        <is>
          <t>向上爬坡</t>
        </is>
      </c>
      <c r="D148" s="2" t="inlineStr">
        <is>
          <t>MW/时段</t>
        </is>
      </c>
      <c r="E148" s="2" t="inlineStr">
        <is>
          <t>需确认原始时段长度</t>
        </is>
      </c>
      <c r="F148" s="2" t="inlineStr">
        <is>
          <t>原表/说明</t>
        </is>
      </c>
      <c r="G148" s="2" t="inlineStr">
        <is>
          <t>原有内容保留</t>
        </is>
      </c>
      <c r="H148" s="2" t="n"/>
      <c r="I148" s="2" t="n"/>
    </row>
    <row r="149" ht="66" customHeight="1">
      <c r="A149" s="2" t="inlineStr">
        <is>
          <t>其他规划</t>
        </is>
      </c>
      <c r="B149" s="2" t="inlineStr">
        <is>
          <t>RAMP_LIMIT_DOWN</t>
        </is>
      </c>
      <c r="C149" s="2" t="inlineStr">
        <is>
          <t>向下爬坡</t>
        </is>
      </c>
      <c r="D149" s="2" t="inlineStr">
        <is>
          <t>MW/时段</t>
        </is>
      </c>
      <c r="E149" s="2" t="inlineStr">
        <is>
          <t>需确认原始时段长度</t>
        </is>
      </c>
      <c r="F149" s="2" t="inlineStr">
        <is>
          <t>原表/说明</t>
        </is>
      </c>
      <c r="G149" s="2" t="inlineStr">
        <is>
          <t>原有内容保留</t>
        </is>
      </c>
      <c r="H149" s="2" t="n"/>
      <c r="I149" s="2" t="n"/>
    </row>
    <row r="150" ht="66" customHeight="1">
      <c r="A150" s="2" t="inlineStr">
        <is>
          <t>其他规划</t>
        </is>
      </c>
      <c r="B150" s="2" t="inlineStr">
        <is>
          <t>COST_A</t>
        </is>
      </c>
      <c r="C150" s="2" t="inlineStr">
        <is>
          <t>燃料二次项</t>
        </is>
      </c>
      <c r="D150" s="2" t="inlineStr">
        <is>
          <t>原货币单位/(h·MW²)</t>
        </is>
      </c>
      <c r="E150" s="2" t="inlineStr">
        <is>
          <t>需确认原货币单位</t>
        </is>
      </c>
      <c r="F150" s="2" t="inlineStr">
        <is>
          <t>原表/说明</t>
        </is>
      </c>
      <c r="G150" s="2" t="inlineStr">
        <is>
          <t>原有内容保留</t>
        </is>
      </c>
      <c r="H150" s="2" t="n"/>
      <c r="I150" s="2" t="n"/>
    </row>
    <row r="151" ht="66" customHeight="1">
      <c r="A151" s="2" t="inlineStr">
        <is>
          <t>其他规划</t>
        </is>
      </c>
      <c r="B151" s="2" t="inlineStr">
        <is>
          <t>COST_B</t>
        </is>
      </c>
      <c r="C151" s="2" t="inlineStr">
        <is>
          <t>燃料一次项</t>
        </is>
      </c>
      <c r="D151" s="2" t="inlineStr">
        <is>
          <t>原货币单位/MWh</t>
        </is>
      </c>
      <c r="E151" s="2" t="inlineStr">
        <is>
          <t>不自动作为气电GEN_COST</t>
        </is>
      </c>
      <c r="F151" s="2" t="inlineStr">
        <is>
          <t>原表/说明</t>
        </is>
      </c>
      <c r="G151" s="2" t="inlineStr">
        <is>
          <t>原有内容保留</t>
        </is>
      </c>
      <c r="H151" s="2" t="n"/>
      <c r="I151" s="2" t="n"/>
    </row>
    <row r="152" ht="66" customHeight="1">
      <c r="A152" s="2" t="inlineStr">
        <is>
          <t>其他规划</t>
        </is>
      </c>
      <c r="B152" s="2" t="inlineStr">
        <is>
          <t>COST_C</t>
        </is>
      </c>
      <c r="C152" s="2" t="inlineStr">
        <is>
          <t>燃料常数项</t>
        </is>
      </c>
      <c r="D152" s="2" t="inlineStr">
        <is>
          <t>原货币单位/h</t>
        </is>
      </c>
      <c r="E152" s="2" t="inlineStr">
        <is>
          <t>煤电在线空载成本</t>
        </is>
      </c>
      <c r="F152" s="2" t="inlineStr">
        <is>
          <t>原表/说明</t>
        </is>
      </c>
      <c r="G152" s="2" t="inlineStr">
        <is>
          <t>原有内容保留</t>
        </is>
      </c>
      <c r="H152" s="2" t="n"/>
      <c r="I152" s="2" t="n"/>
    </row>
    <row r="153" ht="66" customHeight="1">
      <c r="A153" s="2" t="inlineStr">
        <is>
          <t>其他规划</t>
        </is>
      </c>
      <c r="B153" s="2" t="inlineStr">
        <is>
          <t>COST_START_UP</t>
        </is>
      </c>
      <c r="C153" s="2" t="inlineStr">
        <is>
          <t>启动成本</t>
        </is>
      </c>
      <c r="D153" s="2" t="inlineStr">
        <is>
          <t>原货币单位/次</t>
        </is>
      </c>
      <c r="E153" s="2" t="inlineStr">
        <is>
          <t>源表</t>
        </is>
      </c>
      <c r="F153" s="2" t="inlineStr">
        <is>
          <t>原表/说明</t>
        </is>
      </c>
      <c r="G153" s="2" t="inlineStr">
        <is>
          <t>原有内容保留</t>
        </is>
      </c>
      <c r="H153" s="2" t="n"/>
      <c r="I153" s="2" t="n"/>
    </row>
    <row r="154" ht="66" customHeight="1">
      <c r="A154" s="2" t="inlineStr">
        <is>
          <t>其他规划</t>
        </is>
      </c>
      <c r="B154" s="2" t="inlineStr">
        <is>
          <t>COST_SHUT_DOWN</t>
        </is>
      </c>
      <c r="C154" s="2" t="inlineStr">
        <is>
          <t>停机成本</t>
        </is>
      </c>
      <c r="D154" s="2" t="inlineStr">
        <is>
          <t>原货币单位/次</t>
        </is>
      </c>
      <c r="E154" s="2" t="inlineStr">
        <is>
          <t>源表</t>
        </is>
      </c>
      <c r="F154" s="2" t="inlineStr">
        <is>
          <t>原表/说明</t>
        </is>
      </c>
      <c r="G154" s="2" t="inlineStr">
        <is>
          <t>原有内容保留</t>
        </is>
      </c>
      <c r="H154" s="2" t="n"/>
      <c r="I154" s="2" t="n"/>
    </row>
    <row r="155" ht="66" customHeight="1">
      <c r="A155" s="2" t="inlineStr">
        <is>
          <t>其他规划</t>
        </is>
      </c>
      <c r="B155" s="2" t="inlineStr">
        <is>
          <t>MIN_POWER_CHARGE</t>
        </is>
      </c>
      <c r="C155" s="2" t="inlineStr">
        <is>
          <t>原抽水功率下限</t>
        </is>
      </c>
      <c r="D155" s="2" t="inlineStr">
        <is>
          <t>MW</t>
        </is>
      </c>
      <c r="E155" s="2" t="inlineStr">
        <is>
          <t>保留带符号原值</t>
        </is>
      </c>
      <c r="F155" s="2" t="inlineStr">
        <is>
          <t>原表/说明</t>
        </is>
      </c>
      <c r="G155" s="2" t="inlineStr">
        <is>
          <t>原有内容保留</t>
        </is>
      </c>
      <c r="H155" s="2" t="n"/>
      <c r="I155" s="2" t="n"/>
    </row>
    <row r="156" ht="66" customHeight="1">
      <c r="A156" s="2" t="inlineStr">
        <is>
          <t>其他规划</t>
        </is>
      </c>
      <c r="B156" s="2" t="inlineStr">
        <is>
          <t>MAX_POWER_CHARGE</t>
        </is>
      </c>
      <c r="C156" s="2" t="inlineStr">
        <is>
          <t>最大抽水功率</t>
        </is>
      </c>
      <c r="D156" s="2" t="inlineStr">
        <is>
          <t>MW</t>
        </is>
      </c>
      <c r="E156" s="2" t="inlineStr">
        <is>
          <t>正向吸收功率</t>
        </is>
      </c>
      <c r="F156" s="2" t="inlineStr">
        <is>
          <t>原表/说明</t>
        </is>
      </c>
      <c r="G156" s="2" t="inlineStr">
        <is>
          <t>原有内容保留</t>
        </is>
      </c>
      <c r="H156" s="2" t="n"/>
      <c r="I156" s="2" t="n"/>
    </row>
    <row r="157" ht="66" customHeight="1">
      <c r="A157" s="2" t="inlineStr">
        <is>
          <t>其他规划</t>
        </is>
      </c>
      <c r="B157" s="2" t="inlineStr">
        <is>
          <t>GEN_AFFI_FACTOR</t>
        </is>
      </c>
      <c r="C157" s="2" t="inlineStr">
        <is>
          <t>发电效率</t>
        </is>
      </c>
      <c r="D157" s="2" t="inlineStr">
        <is>
          <t>0~1</t>
        </is>
      </c>
      <c r="E157" s="2" t="inlineStr">
        <is>
          <t>源表</t>
        </is>
      </c>
      <c r="F157" s="2" t="inlineStr">
        <is>
          <t>原表/说明</t>
        </is>
      </c>
      <c r="G157" s="2" t="inlineStr">
        <is>
          <t>原有内容保留</t>
        </is>
      </c>
      <c r="H157" s="2" t="n"/>
      <c r="I157" s="2" t="n"/>
    </row>
    <row r="158" ht="66" customHeight="1">
      <c r="A158" s="2" t="inlineStr">
        <is>
          <t>其他规划</t>
        </is>
      </c>
      <c r="B158" s="2" t="inlineStr">
        <is>
          <t>CHAEGE_AFFI_FACTOR</t>
        </is>
      </c>
      <c r="C158" s="2" t="inlineStr">
        <is>
          <t>抽水效率</t>
        </is>
      </c>
      <c r="D158" s="2" t="inlineStr">
        <is>
          <t>0~1</t>
        </is>
      </c>
      <c r="E158" s="2" t="inlineStr">
        <is>
          <t>沿用源表拼写</t>
        </is>
      </c>
      <c r="F158" s="2" t="inlineStr">
        <is>
          <t>原表/说明</t>
        </is>
      </c>
      <c r="G158" s="2" t="inlineStr">
        <is>
          <t>原有内容保留</t>
        </is>
      </c>
      <c r="H158" s="2" t="n"/>
      <c r="I158" s="2" t="n"/>
    </row>
    <row r="159" ht="66" customHeight="1">
      <c r="A159" s="2" t="inlineStr">
        <is>
          <t>其他规划</t>
        </is>
      </c>
      <c r="B159" s="2" t="inlineStr">
        <is>
          <t>DataStatus</t>
        </is>
      </c>
      <c r="C159" s="2" t="inlineStr">
        <is>
          <t>数据状态</t>
        </is>
      </c>
      <c r="D159" s="2" t="inlineStr">
        <is>
          <t>文本</t>
        </is>
      </c>
      <c r="E159" s="2" t="inlineStr">
        <is>
          <t>源表数据保留；新增参数待填</t>
        </is>
      </c>
      <c r="F159" s="2" t="inlineStr">
        <is>
          <t>原表/说明</t>
        </is>
      </c>
      <c r="G159" s="2" t="inlineStr">
        <is>
          <t>原有内容保留</t>
        </is>
      </c>
      <c r="H159" s="2" t="n"/>
      <c r="I159" s="2" t="n"/>
    </row>
    <row r="160" ht="66" customHeight="1">
      <c r="A160" s="2" t="inlineStr">
        <is>
          <t>风电</t>
        </is>
      </c>
      <c r="B160" s="2" t="inlineStr">
        <is>
          <t>UnitKey</t>
        </is>
      </c>
      <c r="C160" s="2" t="inlineStr">
        <is>
          <t>机组唯一编号</t>
        </is>
      </c>
      <c r="D160" s="2" t="inlineStr">
        <is>
          <t>文本</t>
        </is>
      </c>
      <c r="E160" s="2" t="inlineStr">
        <is>
          <t>创建后固定，不随排序改变；新增机组用新编号</t>
        </is>
      </c>
      <c r="F160" s="2" t="inlineStr">
        <is>
          <t>新增稳定编号</t>
        </is>
      </c>
      <c r="G160" s="2" t="inlineStr">
        <is>
          <t>原有内容保留</t>
        </is>
      </c>
      <c r="H160" s="2" t="n"/>
      <c r="I160" s="2" t="n"/>
    </row>
    <row r="161" ht="66" customHeight="1">
      <c r="A161" s="2" t="inlineStr">
        <is>
          <t>风电</t>
        </is>
      </c>
      <c r="B161" s="2" t="inlineStr">
        <is>
          <t>分区编号</t>
        </is>
      </c>
      <c r="C161" s="2" t="inlineStr">
        <is>
          <t>分区编号</t>
        </is>
      </c>
      <c r="D161" s="2" t="inlineStr">
        <is>
          <t>编号</t>
        </is>
      </c>
      <c r="E161" s="2" t="inlineStr">
        <is>
          <t>源表</t>
        </is>
      </c>
      <c r="F161" s="2" t="inlineStr">
        <is>
          <t>原表/说明</t>
        </is>
      </c>
      <c r="G161" s="2" t="inlineStr">
        <is>
          <t>原有内容保留</t>
        </is>
      </c>
      <c r="H161" s="2" t="n"/>
      <c r="I161" s="2" t="n"/>
    </row>
    <row r="162" ht="66" customHeight="1">
      <c r="A162" s="2" t="inlineStr">
        <is>
          <t>风电</t>
        </is>
      </c>
      <c r="B162" s="2" t="inlineStr">
        <is>
          <t>分区名称</t>
        </is>
      </c>
      <c r="C162" s="2" t="inlineStr">
        <is>
          <t>分区名称</t>
        </is>
      </c>
      <c r="D162" s="2" t="inlineStr">
        <is>
          <t>文本</t>
        </is>
      </c>
      <c r="E162" s="2" t="inlineStr">
        <is>
          <t>源表</t>
        </is>
      </c>
      <c r="F162" s="2" t="inlineStr">
        <is>
          <t>原表/说明</t>
        </is>
      </c>
      <c r="G162" s="2" t="inlineStr">
        <is>
          <t>原有内容保留</t>
        </is>
      </c>
      <c r="H162" s="2" t="n"/>
      <c r="I162" s="2" t="n"/>
    </row>
    <row r="163" ht="66" customHeight="1">
      <c r="A163" s="2" t="inlineStr">
        <is>
          <t>风电</t>
        </is>
      </c>
      <c r="B163" s="2" t="inlineStr">
        <is>
          <t>装机容量_MW</t>
        </is>
      </c>
      <c r="C163" s="2" t="inlineStr">
        <is>
          <t>装机容量</t>
        </is>
      </c>
      <c r="D163" s="2" t="inlineStr">
        <is>
          <t>MW</t>
        </is>
      </c>
      <c r="E163" s="2" t="inlineStr">
        <is>
          <t>源表</t>
        </is>
      </c>
      <c r="F163" s="2" t="inlineStr">
        <is>
          <t>原表/说明</t>
        </is>
      </c>
      <c r="G163" s="2" t="inlineStr">
        <is>
          <t>原有内容保留</t>
        </is>
      </c>
      <c r="H163" s="2" t="n"/>
      <c r="I163" s="2" t="n"/>
    </row>
    <row r="164" ht="66" customHeight="1">
      <c r="A164" s="2" t="inlineStr">
        <is>
          <t>风电</t>
        </is>
      </c>
      <c r="B164" s="2" t="inlineStr">
        <is>
          <t>FOM_COST_PERIOD</t>
        </is>
      </c>
      <c r="C164" s="2" t="inlineStr">
        <is>
          <t>本周期固定运维系数</t>
        </is>
      </c>
      <c r="D164" s="2" t="inlineStr">
        <is>
          <t>万元/MW·基准期</t>
        </is>
      </c>
      <c r="E164" s="2" t="inlineStr">
        <is>
          <t>输入对应fixedCostReferenceHours小时；MATLAB自动折算到T小时。</t>
        </is>
      </c>
      <c r="F164" s="2" t="inlineStr">
        <is>
          <t>公开资料与算例假设区分见右侧</t>
        </is>
      </c>
      <c r="G164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64" s="2" t="inlineStr">
        <is>
          <t>算例基准2023</t>
        </is>
      </c>
      <c r="I164" s="2" t="inlineStr">
        <is>
          <t>本目录 synergy_jiangsu_25_legacy.m；运维比例为假设</t>
        </is>
      </c>
    </row>
    <row r="165" ht="66" customHeight="1">
      <c r="A165" s="2" t="inlineStr">
        <is>
          <t>风电</t>
        </is>
      </c>
      <c r="B165" s="2" t="inlineStr">
        <is>
          <t>DataStatus</t>
        </is>
      </c>
      <c r="C165" s="2" t="inlineStr">
        <is>
          <t>数据状态</t>
        </is>
      </c>
      <c r="D165" s="2" t="inlineStr">
        <is>
          <t>文本</t>
        </is>
      </c>
      <c r="E165" s="2" t="inlineStr">
        <is>
          <t>源表数据保留；新增参数待填</t>
        </is>
      </c>
      <c r="F165" s="2" t="inlineStr">
        <is>
          <t>原表/说明</t>
        </is>
      </c>
      <c r="G165" s="2" t="inlineStr">
        <is>
          <t>原有内容保留</t>
        </is>
      </c>
      <c r="H165" s="2" t="n"/>
      <c r="I165" s="2" t="n"/>
    </row>
    <row r="166" ht="66" customHeight="1">
      <c r="A166" s="2" t="inlineStr">
        <is>
          <t>光伏</t>
        </is>
      </c>
      <c r="B166" s="2" t="inlineStr">
        <is>
          <t>UnitKey</t>
        </is>
      </c>
      <c r="C166" s="2" t="inlineStr">
        <is>
          <t>机组唯一编号</t>
        </is>
      </c>
      <c r="D166" s="2" t="inlineStr">
        <is>
          <t>文本</t>
        </is>
      </c>
      <c r="E166" s="2" t="inlineStr">
        <is>
          <t>创建后固定，不随排序改变；新增机组用新编号</t>
        </is>
      </c>
      <c r="F166" s="2" t="inlineStr">
        <is>
          <t>新增稳定编号</t>
        </is>
      </c>
      <c r="G166" s="2" t="inlineStr">
        <is>
          <t>原有内容保留</t>
        </is>
      </c>
      <c r="H166" s="2" t="n"/>
      <c r="I166" s="2" t="n"/>
    </row>
    <row r="167" ht="66" customHeight="1">
      <c r="A167" s="2" t="inlineStr">
        <is>
          <t>光伏</t>
        </is>
      </c>
      <c r="B167" s="2" t="inlineStr">
        <is>
          <t>分区编号</t>
        </is>
      </c>
      <c r="C167" s="2" t="inlineStr">
        <is>
          <t>分区编号</t>
        </is>
      </c>
      <c r="D167" s="2" t="inlineStr">
        <is>
          <t>编号</t>
        </is>
      </c>
      <c r="E167" s="2" t="inlineStr">
        <is>
          <t>源表</t>
        </is>
      </c>
      <c r="F167" s="2" t="inlineStr">
        <is>
          <t>原表/说明</t>
        </is>
      </c>
      <c r="G167" s="2" t="inlineStr">
        <is>
          <t>原有内容保留</t>
        </is>
      </c>
      <c r="H167" s="2" t="n"/>
      <c r="I167" s="2" t="n"/>
    </row>
    <row r="168" ht="66" customHeight="1">
      <c r="A168" s="2" t="inlineStr">
        <is>
          <t>光伏</t>
        </is>
      </c>
      <c r="B168" s="2" t="inlineStr">
        <is>
          <t>分区名称</t>
        </is>
      </c>
      <c r="C168" s="2" t="inlineStr">
        <is>
          <t>分区名称</t>
        </is>
      </c>
      <c r="D168" s="2" t="inlineStr">
        <is>
          <t>文本</t>
        </is>
      </c>
      <c r="E168" s="2" t="inlineStr">
        <is>
          <t>源表</t>
        </is>
      </c>
      <c r="F168" s="2" t="inlineStr">
        <is>
          <t>原表/说明</t>
        </is>
      </c>
      <c r="G168" s="2" t="inlineStr">
        <is>
          <t>原有内容保留</t>
        </is>
      </c>
      <c r="H168" s="2" t="n"/>
      <c r="I168" s="2" t="n"/>
    </row>
    <row r="169" ht="66" customHeight="1">
      <c r="A169" s="2" t="inlineStr">
        <is>
          <t>光伏</t>
        </is>
      </c>
      <c r="B169" s="2" t="inlineStr">
        <is>
          <t>装机容量_MW</t>
        </is>
      </c>
      <c r="C169" s="2" t="inlineStr">
        <is>
          <t>装机容量</t>
        </is>
      </c>
      <c r="D169" s="2" t="inlineStr">
        <is>
          <t>MW</t>
        </is>
      </c>
      <c r="E169" s="2" t="inlineStr">
        <is>
          <t>源表</t>
        </is>
      </c>
      <c r="F169" s="2" t="inlineStr">
        <is>
          <t>原表/说明</t>
        </is>
      </c>
      <c r="G169" s="2" t="inlineStr">
        <is>
          <t>原有内容保留</t>
        </is>
      </c>
      <c r="H169" s="2" t="n"/>
      <c r="I169" s="2" t="n"/>
    </row>
    <row r="170" ht="66" customHeight="1">
      <c r="A170" s="2" t="inlineStr">
        <is>
          <t>光伏</t>
        </is>
      </c>
      <c r="B170" s="2" t="inlineStr">
        <is>
          <t>FOM_COST_PERIOD</t>
        </is>
      </c>
      <c r="C170" s="2" t="inlineStr">
        <is>
          <t>本周期固定运维系数</t>
        </is>
      </c>
      <c r="D170" s="2" t="inlineStr">
        <is>
          <t>万元/MW·基准期</t>
        </is>
      </c>
      <c r="E170" s="2" t="inlineStr">
        <is>
          <t>输入对应fixedCostReferenceHours小时；MATLAB自动折算到T小时。</t>
        </is>
      </c>
      <c r="F170" s="2" t="inlineStr">
        <is>
          <t>公开资料与算例假设区分见右侧</t>
        </is>
      </c>
      <c r="G170" s="2" t="inlineStr">
        <is>
          <t>算例假设，年度万元/MW：煤8.4、气7.4、抽蓄9、核30、生物质21.25、风10、光3；旧代码投资基数×假设运维率，非企业披露值。2023基准8760h，MATLAB按T/8760折算。</t>
        </is>
      </c>
      <c r="H170" s="2" t="inlineStr">
        <is>
          <t>算例基准2023</t>
        </is>
      </c>
      <c r="I170" s="2" t="inlineStr">
        <is>
          <t>本目录 synergy_jiangsu_25_legacy.m；运维比例为假设</t>
        </is>
      </c>
    </row>
    <row r="171" ht="66" customHeight="1">
      <c r="A171" s="2" t="inlineStr">
        <is>
          <t>光伏</t>
        </is>
      </c>
      <c r="B171" s="2" t="inlineStr">
        <is>
          <t>DataStatus</t>
        </is>
      </c>
      <c r="C171" s="2" t="inlineStr">
        <is>
          <t>数据状态</t>
        </is>
      </c>
      <c r="D171" s="2" t="inlineStr">
        <is>
          <t>文本</t>
        </is>
      </c>
      <c r="E171" s="2" t="inlineStr">
        <is>
          <t>源表数据保留；新增参数待填</t>
        </is>
      </c>
      <c r="F171" s="2" t="inlineStr">
        <is>
          <t>原表/说明</t>
        </is>
      </c>
      <c r="G171" s="2" t="inlineStr">
        <is>
          <t>原有内容保留</t>
        </is>
      </c>
      <c r="H171" s="2" t="n"/>
      <c r="I171" s="2" t="n"/>
    </row>
    <row r="172" ht="66" customHeight="1">
      <c r="A172" s="2" t="inlineStr">
        <is>
          <t>电化学储能</t>
        </is>
      </c>
      <c r="B172" s="2" t="inlineStr">
        <is>
          <t>UnitKey</t>
        </is>
      </c>
      <c r="C172" s="2" t="inlineStr">
        <is>
          <t>机组唯一编号</t>
        </is>
      </c>
      <c r="D172" s="2" t="inlineStr">
        <is>
          <t>文本</t>
        </is>
      </c>
      <c r="E172" s="2" t="inlineStr">
        <is>
          <t>创建后固定，不随排序改变；新增机组用新编号</t>
        </is>
      </c>
      <c r="F172" s="2" t="inlineStr">
        <is>
          <t>公开资料与算例假设区分见右侧</t>
        </is>
      </c>
      <c r="G172" s="2" t="inlineStr">
        <is>
          <t>镇江一期公开汇总101MW/202MWh，2018投运，作为一个等值储能单元放入宁镇常；不是全省储能总量。</t>
        </is>
      </c>
      <c r="H172" s="2" t="inlineStr">
        <is>
          <t>2018</t>
        </is>
      </c>
      <c r="I172" s="2" t="inlineStr">
        <is>
          <t>https://www.nea.gov.cn/2018-08/02/c_137363926.htm</t>
        </is>
      </c>
    </row>
    <row r="173" ht="66" customHeight="1">
      <c r="A173" s="2" t="inlineStr">
        <is>
          <t>电化学储能</t>
        </is>
      </c>
      <c r="B173" s="2" t="inlineStr">
        <is>
          <t>NAME</t>
        </is>
      </c>
      <c r="C173" s="2" t="inlineStr">
        <is>
          <t>机组名称</t>
        </is>
      </c>
      <c r="D173" s="2" t="inlineStr">
        <is>
          <t>文本</t>
        </is>
      </c>
      <c r="E173" s="2" t="inlineStr">
        <is>
          <t>保留源表</t>
        </is>
      </c>
      <c r="F173" s="2" t="inlineStr">
        <is>
          <t>公开资料与算例假设区分见右侧</t>
        </is>
      </c>
      <c r="G173" s="2" t="inlineStr">
        <is>
          <t>镇江一期公开汇总101MW/202MWh，2018投运，作为一个等值储能单元放入宁镇常；不是全省储能总量。</t>
        </is>
      </c>
      <c r="H173" s="2" t="inlineStr">
        <is>
          <t>2018</t>
        </is>
      </c>
      <c r="I173" s="2" t="inlineStr">
        <is>
          <t>https://www.nea.gov.cn/2018-08/02/c_137363926.htm</t>
        </is>
      </c>
    </row>
    <row r="174" ht="66" customHeight="1">
      <c r="A174" s="2" t="inlineStr">
        <is>
          <t>电化学储能</t>
        </is>
      </c>
      <c r="B174" s="2" t="inlineStr">
        <is>
          <t>AreaID</t>
        </is>
      </c>
      <c r="C174" s="2" t="inlineStr">
        <is>
          <t>分区编号</t>
        </is>
      </c>
      <c r="D174" s="2" t="inlineStr">
        <is>
          <t>编号</t>
        </is>
      </c>
      <c r="E174" s="2" t="inlineStr">
        <is>
          <t>与分区表对应</t>
        </is>
      </c>
      <c r="F174" s="2" t="inlineStr">
        <is>
          <t>公开资料与算例假设区分见右侧</t>
        </is>
      </c>
      <c r="G174" s="2" t="inlineStr">
        <is>
          <t>镇江一期公开汇总101MW/202MWh，2018投运，作为一个等值储能单元放入宁镇常；不是全省储能总量。</t>
        </is>
      </c>
      <c r="H174" s="2" t="inlineStr">
        <is>
          <t>2018</t>
        </is>
      </c>
      <c r="I174" s="2" t="inlineStr">
        <is>
          <t>https://www.nea.gov.cn/2018-08/02/c_137363926.htm</t>
        </is>
      </c>
    </row>
    <row r="175" ht="66" customHeight="1">
      <c r="A175" s="2" t="inlineStr">
        <is>
          <t>电化学储能</t>
        </is>
      </c>
      <c r="B175" s="2" t="inlineStr">
        <is>
          <t>CAP</t>
        </is>
      </c>
      <c r="C175" s="2" t="inlineStr">
        <is>
          <t>额定容量</t>
        </is>
      </c>
      <c r="D175" s="2" t="inlineStr">
        <is>
          <t>MW</t>
        </is>
      </c>
      <c r="E175" s="2" t="inlineStr">
        <is>
          <t>源表</t>
        </is>
      </c>
      <c r="F175" s="2" t="inlineStr">
        <is>
          <t>公开资料与算例假设区分见右侧</t>
        </is>
      </c>
      <c r="G175" s="2" t="inlineStr">
        <is>
          <t>镇江一期公开汇总101MW/202MWh，2018投运，作为一个等值储能单元放入宁镇常；不是全省储能总量。</t>
        </is>
      </c>
      <c r="H175" s="2" t="inlineStr">
        <is>
          <t>2018</t>
        </is>
      </c>
      <c r="I175" s="2" t="inlineStr">
        <is>
          <t>https://www.nea.gov.cn/2018-08/02/c_137363926.htm</t>
        </is>
      </c>
    </row>
    <row r="176" ht="66" customHeight="1">
      <c r="A176" s="2" t="inlineStr">
        <is>
          <t>电化学储能</t>
        </is>
      </c>
      <c r="B176" s="2" t="inlineStr">
        <is>
          <t>ENERGY_MWH</t>
        </is>
      </c>
      <c r="C176" s="2" t="inlineStr">
        <is>
          <t>最大等效储能容量</t>
        </is>
      </c>
      <c r="D176" s="2" t="inlineStr">
        <is>
          <t>MWh</t>
        </is>
      </c>
      <c r="E176" s="2" t="inlineStr">
        <is>
          <t>待填；共用水库不得重复计容量</t>
        </is>
      </c>
      <c r="F176" s="2" t="inlineStr">
        <is>
          <t>公开资料与算例假设区分见右侧</t>
        </is>
      </c>
      <c r="G176" s="2" t="inlineStr">
        <is>
          <t>镇江一期公开汇总101MW/202MWh，2018投运，作为一个等值储能单元放入宁镇常；不是全省储能总量。</t>
        </is>
      </c>
      <c r="H176" s="2" t="inlineStr">
        <is>
          <t>2018</t>
        </is>
      </c>
      <c r="I176" s="2" t="inlineStr">
        <is>
          <t>https://www.nea.gov.cn/2018-08/02/c_137363926.htm</t>
        </is>
      </c>
    </row>
    <row r="177" ht="66" customHeight="1">
      <c r="A177" s="2" t="inlineStr">
        <is>
          <t>电化学储能</t>
        </is>
      </c>
      <c r="B177" s="2" t="inlineStr">
        <is>
          <t>SOC_MIN</t>
        </is>
      </c>
      <c r="C177" s="2" t="inlineStr">
        <is>
          <t>最小SOC</t>
        </is>
      </c>
      <c r="D177" s="2" t="inlineStr">
        <is>
          <t>0~1</t>
        </is>
      </c>
      <c r="E177" s="2" t="inlineStr">
        <is>
          <t>待填</t>
        </is>
      </c>
      <c r="F177" s="2" t="inlineStr">
        <is>
          <t>公开资料与算例假设区分见右侧</t>
        </is>
      </c>
      <c r="G177" s="2" t="inlineStr">
        <is>
          <t>SOC=0.1/0.9/0.5；每小时自放电0.0001。均为算例假设。</t>
        </is>
      </c>
      <c r="H177" s="2" t="inlineStr">
        <is>
          <t>假设</t>
        </is>
      </c>
      <c r="I177" s="2" t="n"/>
    </row>
    <row r="178" ht="66" customHeight="1">
      <c r="A178" s="2" t="inlineStr">
        <is>
          <t>电化学储能</t>
        </is>
      </c>
      <c r="B178" s="2" t="inlineStr">
        <is>
          <t>SOC_MAX</t>
        </is>
      </c>
      <c r="C178" s="2" t="inlineStr">
        <is>
          <t>最大SOC</t>
        </is>
      </c>
      <c r="D178" s="2" t="inlineStr">
        <is>
          <t>0~1</t>
        </is>
      </c>
      <c r="E178" s="2" t="inlineStr">
        <is>
          <t>待填</t>
        </is>
      </c>
      <c r="F178" s="2" t="inlineStr">
        <is>
          <t>公开资料与算例假设区分见右侧</t>
        </is>
      </c>
      <c r="G178" s="2" t="inlineStr">
        <is>
          <t>SOC=0.1/0.9/0.5；每小时自放电0.0001。均为算例假设。</t>
        </is>
      </c>
      <c r="H178" s="2" t="inlineStr">
        <is>
          <t>假设</t>
        </is>
      </c>
      <c r="I178" s="2" t="n"/>
    </row>
    <row r="179" ht="66" customHeight="1">
      <c r="A179" s="2" t="inlineStr">
        <is>
          <t>电化学储能</t>
        </is>
      </c>
      <c r="B179" s="2" t="inlineStr">
        <is>
          <t>SOC_INITIAL</t>
        </is>
      </c>
      <c r="C179" s="2" t="inlineStr">
        <is>
          <t>初始SOC</t>
        </is>
      </c>
      <c r="D179" s="2" t="inlineStr">
        <is>
          <t>0~1</t>
        </is>
      </c>
      <c r="E179" s="2" t="inlineStr">
        <is>
          <t>待填</t>
        </is>
      </c>
      <c r="F179" s="2" t="inlineStr">
        <is>
          <t>公开资料与算例假设区分见右侧</t>
        </is>
      </c>
      <c r="G179" s="2" t="inlineStr">
        <is>
          <t>SOC=0.1/0.9/0.5；每小时自放电0.0001。均为算例假设。</t>
        </is>
      </c>
      <c r="H179" s="2" t="inlineStr">
        <is>
          <t>假设</t>
        </is>
      </c>
      <c r="I179" s="2" t="n"/>
    </row>
    <row r="180" ht="66" customHeight="1">
      <c r="A180" s="2" t="inlineStr">
        <is>
          <t>电化学储能</t>
        </is>
      </c>
      <c r="B180" s="2" t="inlineStr">
        <is>
          <t>ETA_CHARGE</t>
        </is>
      </c>
      <c r="C180" s="2" t="inlineStr">
        <is>
          <t>充电效率</t>
        </is>
      </c>
      <c r="D180" s="2" t="inlineStr">
        <is>
          <t>0~1</t>
        </is>
      </c>
      <c r="E180" s="2" t="inlineStr">
        <is>
          <t>待填</t>
        </is>
      </c>
      <c r="F180" s="2" t="inlineStr">
        <is>
          <t>公开资料与算例假设区分见右侧</t>
        </is>
      </c>
      <c r="G180" s="2" t="inlineStr">
        <is>
          <t>2024 ATB电网充电往返85%作为技术情景；单向各sqrt(0.85)，非镇江项目实测。</t>
        </is>
      </c>
      <c r="H180" s="2" t="inlineStr">
        <is>
          <t>2024参考</t>
        </is>
      </c>
      <c r="I180" s="2" t="inlineStr">
        <is>
          <t>https://atb.nrel.gov/electricity/2024/utility-scale_pv-plus-battery</t>
        </is>
      </c>
    </row>
    <row r="181" ht="66" customHeight="1">
      <c r="A181" s="2" t="inlineStr">
        <is>
          <t>电化学储能</t>
        </is>
      </c>
      <c r="B181" s="2" t="inlineStr">
        <is>
          <t>ETA_DISCHARGE</t>
        </is>
      </c>
      <c r="C181" s="2" t="inlineStr">
        <is>
          <t>放电效率</t>
        </is>
      </c>
      <c r="D181" s="2" t="inlineStr">
        <is>
          <t>0~1</t>
        </is>
      </c>
      <c r="E181" s="2" t="inlineStr">
        <is>
          <t>待填</t>
        </is>
      </c>
      <c r="F181" s="2" t="inlineStr">
        <is>
          <t>公开资料与算例假设区分见右侧</t>
        </is>
      </c>
      <c r="G181" s="2" t="inlineStr">
        <is>
          <t>2024 ATB电网充电往返85%作为技术情景；单向各sqrt(0.85)，非镇江项目实测。</t>
        </is>
      </c>
      <c r="H181" s="2" t="inlineStr">
        <is>
          <t>2024参考</t>
        </is>
      </c>
      <c r="I181" s="2" t="inlineStr">
        <is>
          <t>https://atb.nrel.gov/electricity/2024/utility-scale_pv-plus-battery</t>
        </is>
      </c>
    </row>
    <row r="182" ht="66" customHeight="1">
      <c r="A182" s="2" t="inlineStr">
        <is>
          <t>电化学储能</t>
        </is>
      </c>
      <c r="B182" s="2" t="inlineStr">
        <is>
          <t>SELF_DISCHARGE</t>
        </is>
      </c>
      <c r="C182" s="2" t="inlineStr">
        <is>
          <t>每小时自放电率</t>
        </is>
      </c>
      <c r="D182" s="2" t="inlineStr">
        <is>
          <t>1/h</t>
        </is>
      </c>
      <c r="E182" s="2" t="inlineStr">
        <is>
          <t>待填</t>
        </is>
      </c>
      <c r="F182" s="2" t="inlineStr">
        <is>
          <t>公开资料与算例假设区分见右侧</t>
        </is>
      </c>
      <c r="G182" s="2" t="inlineStr">
        <is>
          <t>SOC=0.1/0.9/0.5；每小时自放电0.0001。均为算例假设。</t>
        </is>
      </c>
      <c r="H182" s="2" t="inlineStr">
        <is>
          <t>假设</t>
        </is>
      </c>
      <c r="I182" s="2" t="n"/>
    </row>
    <row r="183" ht="66" customHeight="1">
      <c r="A183" s="2" t="inlineStr">
        <is>
          <t>电化学储能</t>
        </is>
      </c>
      <c r="B183" s="2" t="inlineStr">
        <is>
          <t>POWER_COST</t>
        </is>
      </c>
      <c r="C183" s="2" t="inlineStr">
        <is>
          <t>单位功率投资成本</t>
        </is>
      </c>
      <c r="D183" s="2" t="inlineStr">
        <is>
          <t>元/MW</t>
        </is>
      </c>
      <c r="E183" s="2" t="inlineStr">
        <is>
          <t>老化成本输入，待填</t>
        </is>
      </c>
      <c r="F183" s="2" t="inlineStr">
        <is>
          <t>公开资料与算例假设区分见右侧</t>
        </is>
      </c>
      <c r="G183" s="2" t="inlineStr">
        <is>
          <t>造价假设：20万元/MW+110万元/MWh，2h系统折合1.2元/Wh；替换份额0.8；年运维取各投资的2%，填0.4万元/MW和2.2万元/MWh。非镇江项目造价。</t>
        </is>
      </c>
      <c r="H183" s="2" t="inlineStr">
        <is>
          <t>假设</t>
        </is>
      </c>
      <c r="I183" s="2" t="n"/>
    </row>
    <row r="184" ht="66" customHeight="1">
      <c r="A184" s="2" t="inlineStr">
        <is>
          <t>电化学储能</t>
        </is>
      </c>
      <c r="B184" s="2" t="inlineStr">
        <is>
          <t>ENERGY_COST</t>
        </is>
      </c>
      <c r="C184" s="2" t="inlineStr">
        <is>
          <t>单位能量投资成本</t>
        </is>
      </c>
      <c r="D184" s="2" t="inlineStr">
        <is>
          <t>元/MWh</t>
        </is>
      </c>
      <c r="E184" s="2" t="inlineStr">
        <is>
          <t>待填</t>
        </is>
      </c>
      <c r="F184" s="2" t="inlineStr">
        <is>
          <t>公开资料与算例假设区分见右侧</t>
        </is>
      </c>
      <c r="G184" s="2" t="inlineStr">
        <is>
          <t>造价假设：20万元/MW+110万元/MWh，2h系统折合1.2元/Wh；替换份额0.8；年运维取各投资的2%，填0.4万元/MW和2.2万元/MWh。非镇江项目造价。</t>
        </is>
      </c>
      <c r="H184" s="2" t="inlineStr">
        <is>
          <t>假设</t>
        </is>
      </c>
      <c r="I184" s="2" t="n"/>
    </row>
    <row r="185" ht="66" customHeight="1">
      <c r="A185" s="2" t="inlineStr">
        <is>
          <t>电化学储能</t>
        </is>
      </c>
      <c r="B185" s="2" t="inlineStr">
        <is>
          <t>REPLACE_FACTOR</t>
        </is>
      </c>
      <c r="C185" s="2" t="inlineStr">
        <is>
          <t>替换系数</t>
        </is>
      </c>
      <c r="D185" s="2" t="inlineStr">
        <is>
          <t>无量纲</t>
        </is>
      </c>
      <c r="E185" s="2" t="inlineStr">
        <is>
          <t>待填</t>
        </is>
      </c>
      <c r="F185" s="2" t="inlineStr">
        <is>
          <t>公开资料与算例假设区分见右侧</t>
        </is>
      </c>
      <c r="G185" s="2" t="inlineStr">
        <is>
          <t>造价假设：20万元/MW+110万元/MWh，2h系统折合1.2元/Wh；替换份额0.8；年运维取各投资的2%，填0.4万元/MW和2.2万元/MWh。非镇江项目造价。</t>
        </is>
      </c>
      <c r="H185" s="2" t="inlineStr">
        <is>
          <t>假设</t>
        </is>
      </c>
      <c r="I185" s="2" t="n"/>
    </row>
    <row r="186" ht="66" customHeight="1">
      <c r="A186" s="2" t="inlineStr">
        <is>
          <t>电化学储能</t>
        </is>
      </c>
      <c r="B186" s="2" t="inlineStr">
        <is>
          <t>MAX_CYCLES</t>
        </is>
      </c>
      <c r="C186" s="2" t="inlineStr">
        <is>
          <t>最大满循环次数</t>
        </is>
      </c>
      <c r="D186" s="2" t="inlineStr">
        <is>
          <t>次</t>
        </is>
      </c>
      <c r="E186" s="2" t="inlineStr">
        <is>
          <t>待填</t>
        </is>
      </c>
      <c r="F186" s="2" t="inlineStr">
        <is>
          <t>公开资料与算例假设区分见右侧</t>
        </is>
      </c>
      <c r="G186" s="2" t="inlineStr">
        <is>
          <t>取5000次，参考2024规范储能电池组最低循环指标；作为技术情景，不推定2018投运设备仍具该寿命。</t>
        </is>
      </c>
      <c r="H186" s="2" t="inlineStr">
        <is>
          <t>2024参考</t>
        </is>
      </c>
      <c r="I186" s="2" t="inlineStr">
        <is>
          <t>https://gxt.fujian.gov.cn/zwgk/xw/hydt/xydt/202406/t20240620_6470734.htm</t>
        </is>
      </c>
    </row>
    <row r="187" ht="66" customHeight="1">
      <c r="A187" s="2" t="inlineStr">
        <is>
          <t>电化学储能</t>
        </is>
      </c>
      <c r="B187" s="2" t="inlineStr">
        <is>
          <t>FOM_COST_PERIOD</t>
        </is>
      </c>
      <c r="C187" s="2" t="inlineStr">
        <is>
          <t>本周期固定运维系数</t>
        </is>
      </c>
      <c r="D187" s="2" t="inlineStr">
        <is>
          <t>万元/MW·基准期</t>
        </is>
      </c>
      <c r="E187" s="2" t="inlineStr">
        <is>
          <t>输入对应fixedCostReferenceHours小时；MATLAB自动折算到T小时。</t>
        </is>
      </c>
      <c r="F187" s="2" t="inlineStr">
        <is>
          <t>公开资料与算例假设区分见右侧</t>
        </is>
      </c>
      <c r="G187" s="2" t="inlineStr">
        <is>
          <t>造价假设：20万元/MW+110万元/MWh，2h系统折合1.2元/Wh；替换份额0.8；年运维取各投资的2%，填0.4万元/MW和2.2万元/MWh。非镇江项目造价。</t>
        </is>
      </c>
      <c r="H187" s="2" t="inlineStr">
        <is>
          <t>假设</t>
        </is>
      </c>
      <c r="I187" s="2" t="n"/>
    </row>
    <row r="188" ht="66" customHeight="1">
      <c r="A188" s="2" t="inlineStr">
        <is>
          <t>径流式水电</t>
        </is>
      </c>
      <c r="B188" s="2" t="inlineStr">
        <is>
          <t>UnitKey</t>
        </is>
      </c>
      <c r="C188" s="2" t="inlineStr">
        <is>
          <t>机组唯一编号</t>
        </is>
      </c>
      <c r="D188" s="2" t="inlineStr">
        <is>
          <t>文本</t>
        </is>
      </c>
      <c r="E188" s="2" t="inlineStr">
        <is>
          <t>创建后固定，不随排序改变；新增机组用新编号</t>
        </is>
      </c>
      <c r="F188" s="2" t="inlineStr">
        <is>
          <t>公开资料与算例假设区分见右侧</t>
        </is>
      </c>
      <c r="G188" s="2" t="inlineStr">
        <is>
          <t>2020江苏常规水电45MW作为基准；假设拆为15MW径流式/30MW库容式并分配区4/5。拆分、地址、2023延用均非公开实测。</t>
        </is>
      </c>
      <c r="H188" s="2" t="inlineStr">
        <is>
          <t>2020基准/2022规划</t>
        </is>
      </c>
      <c r="I188" s="2" t="inlineStr">
        <is>
          <t>https://www.eesia.cn/upload/files/2023/9/184590624463dee1.pdf</t>
        </is>
      </c>
    </row>
    <row r="189" ht="66" customHeight="1">
      <c r="A189" s="2" t="inlineStr">
        <is>
          <t>径流式水电</t>
        </is>
      </c>
      <c r="B189" s="2" t="inlineStr">
        <is>
          <t>NAME</t>
        </is>
      </c>
      <c r="C189" s="2" t="inlineStr">
        <is>
          <t>机组名称</t>
        </is>
      </c>
      <c r="D189" s="2" t="inlineStr">
        <is>
          <t>文本</t>
        </is>
      </c>
      <c r="E189" s="2" t="inlineStr">
        <is>
          <t>保留源表</t>
        </is>
      </c>
      <c r="F189" s="2" t="inlineStr">
        <is>
          <t>公开资料与算例假设区分见右侧</t>
        </is>
      </c>
      <c r="G189" s="2" t="inlineStr">
        <is>
          <t>2020江苏常规水电45MW作为基准；假设拆为15MW径流式/30MW库容式并分配区4/5。拆分、地址、2023延用均非公开实测。</t>
        </is>
      </c>
      <c r="H189" s="2" t="inlineStr">
        <is>
          <t>2020基准/2022规划</t>
        </is>
      </c>
      <c r="I189" s="2" t="inlineStr">
        <is>
          <t>https://www.eesia.cn/upload/files/2023/9/184590624463dee1.pdf</t>
        </is>
      </c>
    </row>
    <row r="190" ht="66" customHeight="1">
      <c r="A190" s="2" t="inlineStr">
        <is>
          <t>径流式水电</t>
        </is>
      </c>
      <c r="B190" s="2" t="inlineStr">
        <is>
          <t>AreaID</t>
        </is>
      </c>
      <c r="C190" s="2" t="inlineStr">
        <is>
          <t>分区编号</t>
        </is>
      </c>
      <c r="D190" s="2" t="inlineStr">
        <is>
          <t>编号</t>
        </is>
      </c>
      <c r="E190" s="2" t="inlineStr">
        <is>
          <t>与分区表对应</t>
        </is>
      </c>
      <c r="F190" s="2" t="inlineStr">
        <is>
          <t>公开资料与算例假设区分见右侧</t>
        </is>
      </c>
      <c r="G190" s="2" t="inlineStr">
        <is>
          <t>2020江苏常规水电45MW作为基准；假设拆为15MW径流式/30MW库容式并分配区4/5。拆分、地址、2023延用均非公开实测。</t>
        </is>
      </c>
      <c r="H190" s="2" t="inlineStr">
        <is>
          <t>2020基准/2022规划</t>
        </is>
      </c>
      <c r="I190" s="2" t="inlineStr">
        <is>
          <t>https://www.eesia.cn/upload/files/2023/9/184590624463dee1.pdf</t>
        </is>
      </c>
    </row>
    <row r="191" ht="66" customHeight="1">
      <c r="A191" s="2" t="inlineStr">
        <is>
          <t>径流式水电</t>
        </is>
      </c>
      <c r="B191" s="2" t="inlineStr">
        <is>
          <t>CAP</t>
        </is>
      </c>
      <c r="C191" s="2" t="inlineStr">
        <is>
          <t>额定容量</t>
        </is>
      </c>
      <c r="D191" s="2" t="inlineStr">
        <is>
          <t>MW</t>
        </is>
      </c>
      <c r="E191" s="2" t="inlineStr">
        <is>
          <t>源表</t>
        </is>
      </c>
      <c r="F191" s="2" t="inlineStr">
        <is>
          <t>公开资料与算例假设区分见右侧</t>
        </is>
      </c>
      <c r="G191" s="2" t="inlineStr">
        <is>
          <t>2020江苏常规水电45MW作为基准；假设拆为15MW径流式/30MW库容式并分配区4/5。拆分、地址、2023延用均非公开实测。</t>
        </is>
      </c>
      <c r="H191" s="2" t="inlineStr">
        <is>
          <t>2020基准/2022规划</t>
        </is>
      </c>
      <c r="I191" s="2" t="inlineStr">
        <is>
          <t>https://www.eesia.cn/upload/files/2023/9/184590624463dee1.pdf</t>
        </is>
      </c>
    </row>
    <row r="192" ht="66" customHeight="1">
      <c r="A192" s="2" t="inlineStr">
        <is>
          <t>径流式水电</t>
        </is>
      </c>
      <c r="B192" s="2" t="inlineStr">
        <is>
          <t>GEN_COST</t>
        </is>
      </c>
      <c r="C192" s="2" t="inlineStr">
        <is>
          <t>单位发电成本</t>
        </is>
      </c>
      <c r="D192" s="2" t="inlineStr">
        <is>
          <t>原货币单位/MWh</t>
        </is>
      </c>
      <c r="E192" s="2" t="inlineStr">
        <is>
          <t>待填，不擅自转换旧成本系数</t>
        </is>
      </c>
      <c r="F192" s="2" t="inlineStr">
        <is>
          <t>公开资料与算例假设区分见右侧</t>
        </is>
      </c>
      <c r="G192" s="2" t="inlineStr">
        <is>
          <t>GEN_COST=0（当前PDF水电目标仅固定运维和弃水惩罚）；年固定运维15万元/MW为假设。</t>
        </is>
      </c>
      <c r="H192" s="2" t="inlineStr">
        <is>
          <t>假设</t>
        </is>
      </c>
      <c r="I192" s="2" t="n"/>
    </row>
    <row r="193" ht="66" customHeight="1">
      <c r="A193" s="2" t="inlineStr">
        <is>
          <t>径流式水电</t>
        </is>
      </c>
      <c r="B193" s="2" t="inlineStr">
        <is>
          <t>FOM_COST_PERIOD</t>
        </is>
      </c>
      <c r="C193" s="2" t="inlineStr">
        <is>
          <t>本周期固定运维系数</t>
        </is>
      </c>
      <c r="D193" s="2" t="inlineStr">
        <is>
          <t>万元/MW·基准期</t>
        </is>
      </c>
      <c r="E193" s="2" t="inlineStr">
        <is>
          <t>输入对应fixedCostReferenceHours小时；MATLAB自动折算到T小时。</t>
        </is>
      </c>
      <c r="F193" s="2" t="inlineStr">
        <is>
          <t>公开资料与算例假设区分见右侧</t>
        </is>
      </c>
      <c r="G193" s="2" t="inlineStr">
        <is>
          <t>GEN_COST=0（当前PDF水电目标仅固定运维和弃水惩罚）；年固定运维15万元/MW为假设。</t>
        </is>
      </c>
      <c r="H193" s="2" t="inlineStr">
        <is>
          <t>假设</t>
        </is>
      </c>
      <c r="I193" s="2" t="n"/>
    </row>
    <row r="194" ht="66" customHeight="1">
      <c r="A194" s="2" t="inlineStr">
        <is>
          <t>库容式水电</t>
        </is>
      </c>
      <c r="B194" s="2" t="inlineStr">
        <is>
          <t>UnitKey</t>
        </is>
      </c>
      <c r="C194" s="2" t="inlineStr">
        <is>
          <t>机组唯一编号</t>
        </is>
      </c>
      <c r="D194" s="2" t="inlineStr">
        <is>
          <t>文本</t>
        </is>
      </c>
      <c r="E194" s="2" t="inlineStr">
        <is>
          <t>创建后固定，不随排序改变；新增机组用新编号</t>
        </is>
      </c>
      <c r="F194" s="2" t="inlineStr">
        <is>
          <t>公开资料与算例假设区分见右侧</t>
        </is>
      </c>
      <c r="G194" s="2" t="inlineStr">
        <is>
          <t>2020江苏常规水电45MW作为基准；假设拆为15MW径流式/30MW库容式并分配区4/5。拆分、地址、2023延用均非公开实测。</t>
        </is>
      </c>
      <c r="H194" s="2" t="inlineStr">
        <is>
          <t>2020基准/2022规划</t>
        </is>
      </c>
      <c r="I194" s="2" t="inlineStr">
        <is>
          <t>https://www.eesia.cn/upload/files/2023/9/184590624463dee1.pdf</t>
        </is>
      </c>
    </row>
    <row r="195" ht="66" customHeight="1">
      <c r="A195" s="2" t="inlineStr">
        <is>
          <t>库容式水电</t>
        </is>
      </c>
      <c r="B195" s="2" t="inlineStr">
        <is>
          <t>NAME</t>
        </is>
      </c>
      <c r="C195" s="2" t="inlineStr">
        <is>
          <t>机组名称</t>
        </is>
      </c>
      <c r="D195" s="2" t="inlineStr">
        <is>
          <t>文本</t>
        </is>
      </c>
      <c r="E195" s="2" t="inlineStr">
        <is>
          <t>保留源表</t>
        </is>
      </c>
      <c r="F195" s="2" t="inlineStr">
        <is>
          <t>公开资料与算例假设区分见右侧</t>
        </is>
      </c>
      <c r="G195" s="2" t="inlineStr">
        <is>
          <t>2020江苏常规水电45MW作为基准；假设拆为15MW径流式/30MW库容式并分配区4/5。拆分、地址、2023延用均非公开实测。</t>
        </is>
      </c>
      <c r="H195" s="2" t="inlineStr">
        <is>
          <t>2020基准/2022规划</t>
        </is>
      </c>
      <c r="I195" s="2" t="inlineStr">
        <is>
          <t>https://www.eesia.cn/upload/files/2023/9/184590624463dee1.pdf</t>
        </is>
      </c>
    </row>
    <row r="196" ht="66" customHeight="1">
      <c r="A196" s="2" t="inlineStr">
        <is>
          <t>库容式水电</t>
        </is>
      </c>
      <c r="B196" s="2" t="inlineStr">
        <is>
          <t>AreaID</t>
        </is>
      </c>
      <c r="C196" s="2" t="inlineStr">
        <is>
          <t>分区编号</t>
        </is>
      </c>
      <c r="D196" s="2" t="inlineStr">
        <is>
          <t>编号</t>
        </is>
      </c>
      <c r="E196" s="2" t="inlineStr">
        <is>
          <t>与分区表对应</t>
        </is>
      </c>
      <c r="F196" s="2" t="inlineStr">
        <is>
          <t>公开资料与算例假设区分见右侧</t>
        </is>
      </c>
      <c r="G196" s="2" t="inlineStr">
        <is>
          <t>2020江苏常规水电45MW作为基准；假设拆为15MW径流式/30MW库容式并分配区4/5。拆分、地址、2023延用均非公开实测。</t>
        </is>
      </c>
      <c r="H196" s="2" t="inlineStr">
        <is>
          <t>2020基准/2022规划</t>
        </is>
      </c>
      <c r="I196" s="2" t="inlineStr">
        <is>
          <t>https://www.eesia.cn/upload/files/2023/9/184590624463dee1.pdf</t>
        </is>
      </c>
    </row>
    <row r="197" ht="66" customHeight="1">
      <c r="A197" s="2" t="inlineStr">
        <is>
          <t>库容式水电</t>
        </is>
      </c>
      <c r="B197" s="2" t="inlineStr">
        <is>
          <t>CAP</t>
        </is>
      </c>
      <c r="C197" s="2" t="inlineStr">
        <is>
          <t>额定容量</t>
        </is>
      </c>
      <c r="D197" s="2" t="inlineStr">
        <is>
          <t>MW</t>
        </is>
      </c>
      <c r="E197" s="2" t="inlineStr">
        <is>
          <t>源表</t>
        </is>
      </c>
      <c r="F197" s="2" t="inlineStr">
        <is>
          <t>公开资料与算例假设区分见右侧</t>
        </is>
      </c>
      <c r="G197" s="2" t="inlineStr">
        <is>
          <t>2020江苏常规水电45MW作为基准；假设拆为15MW径流式/30MW库容式并分配区4/5。拆分、地址、2023延用均非公开实测。</t>
        </is>
      </c>
      <c r="H197" s="2" t="inlineStr">
        <is>
          <t>2020基准/2022规划</t>
        </is>
      </c>
      <c r="I197" s="2" t="inlineStr">
        <is>
          <t>https://www.eesia.cn/upload/files/2023/9/184590624463dee1.pdf</t>
        </is>
      </c>
    </row>
    <row r="198" ht="66" customHeight="1">
      <c r="A198" s="2" t="inlineStr">
        <is>
          <t>库容式水电</t>
        </is>
      </c>
      <c r="B198" s="2" t="inlineStr">
        <is>
          <t>GEN_COST</t>
        </is>
      </c>
      <c r="C198" s="2" t="inlineStr">
        <is>
          <t>单位发电成本</t>
        </is>
      </c>
      <c r="D198" s="2" t="inlineStr">
        <is>
          <t>原货币单位/MWh</t>
        </is>
      </c>
      <c r="E198" s="2" t="inlineStr">
        <is>
          <t>待填，不擅自转换旧成本系数</t>
        </is>
      </c>
      <c r="F198" s="2" t="inlineStr">
        <is>
          <t>公开资料与算例假设区分见右侧</t>
        </is>
      </c>
      <c r="G198" s="2" t="inlineStr">
        <is>
          <t>GEN_COST=0（当前PDF水电目标仅固定运维和弃水惩罚）；年固定运维15万元/MW为假设。</t>
        </is>
      </c>
      <c r="H198" s="2" t="inlineStr">
        <is>
          <t>假设</t>
        </is>
      </c>
      <c r="I198" s="2" t="n"/>
    </row>
    <row r="199" ht="66" customHeight="1">
      <c r="A199" s="2" t="inlineStr">
        <is>
          <t>库容式水电</t>
        </is>
      </c>
      <c r="B199" s="2" t="inlineStr">
        <is>
          <t>FOM_COST_PERIOD</t>
        </is>
      </c>
      <c r="C199" s="2" t="inlineStr">
        <is>
          <t>本周期固定运维系数</t>
        </is>
      </c>
      <c r="D199" s="2" t="inlineStr">
        <is>
          <t>万元/MW·基准期</t>
        </is>
      </c>
      <c r="E199" s="2" t="inlineStr">
        <is>
          <t>输入对应fixedCostReferenceHours小时；MATLAB自动折算到T小时。</t>
        </is>
      </c>
      <c r="F199" s="2" t="inlineStr">
        <is>
          <t>公开资料与算例假设区分见右侧</t>
        </is>
      </c>
      <c r="G199" s="2" t="inlineStr">
        <is>
          <t>GEN_COST=0（当前PDF水电目标仅固定运维和弃水惩罚）；年固定运维15万元/MW为假设。</t>
        </is>
      </c>
      <c r="H199" s="2" t="inlineStr">
        <is>
          <t>假设</t>
        </is>
      </c>
      <c r="I199" s="2" t="n"/>
    </row>
    <row r="200" ht="66" customHeight="1">
      <c r="A200" s="2" t="inlineStr">
        <is>
          <t>光热</t>
        </is>
      </c>
      <c r="B200" s="2" t="inlineStr">
        <is>
          <t>UnitKey</t>
        </is>
      </c>
      <c r="C200" s="2" t="inlineStr">
        <is>
          <t>机组唯一编号</t>
        </is>
      </c>
      <c r="D200" s="2" t="inlineStr">
        <is>
          <t>文本</t>
        </is>
      </c>
      <c r="E200" s="2" t="inlineStr">
        <is>
          <t>创建后固定，不随排序改变；新增机组用新编号</t>
        </is>
      </c>
      <c r="F200" s="2" t="inlineStr">
        <is>
          <t>模板，尚无机组数据</t>
        </is>
      </c>
      <c r="G200" s="2" t="inlineStr">
        <is>
          <t>原值保留；空设备类型未配置容量</t>
        </is>
      </c>
      <c r="H200" s="2" t="n"/>
      <c r="I200" s="2" t="n"/>
    </row>
    <row r="201" ht="66" customHeight="1">
      <c r="A201" s="2" t="inlineStr">
        <is>
          <t>光热</t>
        </is>
      </c>
      <c r="B201" s="2" t="inlineStr">
        <is>
          <t>NAME</t>
        </is>
      </c>
      <c r="C201" s="2" t="inlineStr">
        <is>
          <t>机组名称</t>
        </is>
      </c>
      <c r="D201" s="2" t="inlineStr">
        <is>
          <t>文本</t>
        </is>
      </c>
      <c r="E201" s="2" t="inlineStr">
        <is>
          <t>保留源表</t>
        </is>
      </c>
      <c r="F201" s="2" t="inlineStr">
        <is>
          <t>模板，尚无机组数据</t>
        </is>
      </c>
      <c r="G201" s="2" t="inlineStr">
        <is>
          <t>原值保留；空设备类型未配置容量</t>
        </is>
      </c>
      <c r="H201" s="2" t="n"/>
      <c r="I201" s="2" t="n"/>
    </row>
    <row r="202" ht="66" customHeight="1">
      <c r="A202" s="2" t="inlineStr">
        <is>
          <t>光热</t>
        </is>
      </c>
      <c r="B202" s="2" t="inlineStr">
        <is>
          <t>AreaID</t>
        </is>
      </c>
      <c r="C202" s="2" t="inlineStr">
        <is>
          <t>分区编号</t>
        </is>
      </c>
      <c r="D202" s="2" t="inlineStr">
        <is>
          <t>编号</t>
        </is>
      </c>
      <c r="E202" s="2" t="inlineStr">
        <is>
          <t>与分区表对应</t>
        </is>
      </c>
      <c r="F202" s="2" t="inlineStr">
        <is>
          <t>模板，尚无机组数据</t>
        </is>
      </c>
      <c r="G202" s="2" t="inlineStr">
        <is>
          <t>原值保留；空设备类型未配置容量</t>
        </is>
      </c>
      <c r="H202" s="2" t="n"/>
      <c r="I202" s="2" t="n"/>
    </row>
    <row r="203" ht="66" customHeight="1">
      <c r="A203" s="2" t="inlineStr">
        <is>
          <t>光热</t>
        </is>
      </c>
      <c r="B203" s="2" t="inlineStr">
        <is>
          <t>CAP</t>
        </is>
      </c>
      <c r="C203" s="2" t="inlineStr">
        <is>
          <t>额定容量</t>
        </is>
      </c>
      <c r="D203" s="2" t="inlineStr">
        <is>
          <t>MW</t>
        </is>
      </c>
      <c r="E203" s="2" t="inlineStr">
        <is>
          <t>源表</t>
        </is>
      </c>
      <c r="F203" s="2" t="inlineStr">
        <is>
          <t>模板，尚无机组数据</t>
        </is>
      </c>
      <c r="G203" s="2" t="inlineStr">
        <is>
          <t>原值保留；空设备类型未配置容量</t>
        </is>
      </c>
      <c r="H203" s="2" t="n"/>
      <c r="I203" s="2" t="n"/>
    </row>
    <row r="204" ht="66" customHeight="1">
      <c r="A204" s="2" t="inlineStr">
        <is>
          <t>光热</t>
        </is>
      </c>
      <c r="B204" s="2" t="inlineStr">
        <is>
          <t>MIN_POWER_GEN</t>
        </is>
      </c>
      <c r="C204" s="2" t="inlineStr">
        <is>
          <t>最小技术出力</t>
        </is>
      </c>
      <c r="D204" s="2" t="inlineStr">
        <is>
          <t>MW</t>
        </is>
      </c>
      <c r="E204" s="2" t="inlineStr">
        <is>
          <t>抽蓄原字段为带符号值，不作为抽水下限</t>
        </is>
      </c>
      <c r="F204" s="2" t="inlineStr">
        <is>
          <t>模板，尚无机组数据</t>
        </is>
      </c>
      <c r="G204" s="2" t="inlineStr">
        <is>
          <t>原值保留；空设备类型未配置容量</t>
        </is>
      </c>
      <c r="H204" s="2" t="n"/>
      <c r="I204" s="2" t="n"/>
    </row>
    <row r="205" ht="66" customHeight="1">
      <c r="A205" s="2" t="inlineStr">
        <is>
          <t>光热</t>
        </is>
      </c>
      <c r="B205" s="2" t="inlineStr">
        <is>
          <t>SF_EFFICIENCY</t>
        </is>
      </c>
      <c r="C205" s="2" t="inlineStr">
        <is>
          <t>集热效率</t>
        </is>
      </c>
      <c r="D205" s="2" t="inlineStr">
        <is>
          <t>0~1</t>
        </is>
      </c>
      <c r="E205" s="2" t="inlineStr">
        <is>
          <t>待填</t>
        </is>
      </c>
      <c r="F205" s="2" t="inlineStr">
        <is>
          <t>模板，尚无机组数据</t>
        </is>
      </c>
      <c r="G205" s="2" t="inlineStr">
        <is>
          <t>原值保留；空设备类型未配置容量</t>
        </is>
      </c>
      <c r="H205" s="2" t="n"/>
      <c r="I205" s="2" t="n"/>
    </row>
    <row r="206" ht="66" customHeight="1">
      <c r="A206" s="2" t="inlineStr">
        <is>
          <t>光热</t>
        </is>
      </c>
      <c r="B206" s="2" t="inlineStr">
        <is>
          <t>MIRROR_AREA</t>
        </is>
      </c>
      <c r="C206" s="2" t="inlineStr">
        <is>
          <t>镜场面积</t>
        </is>
      </c>
      <c r="D206" s="2" t="inlineStr">
        <is>
          <t>m²</t>
        </is>
      </c>
      <c r="E206" s="2" t="inlineStr">
        <is>
          <t>待填</t>
        </is>
      </c>
      <c r="F206" s="2" t="inlineStr">
        <is>
          <t>模板，尚无机组数据</t>
        </is>
      </c>
      <c r="G206" s="2" t="inlineStr">
        <is>
          <t>原值保留；空设备类型未配置容量</t>
        </is>
      </c>
      <c r="H206" s="2" t="n"/>
      <c r="I206" s="2" t="n"/>
    </row>
    <row r="207" ht="66" customHeight="1">
      <c r="A207" s="2" t="inlineStr">
        <is>
          <t>光热</t>
        </is>
      </c>
      <c r="B207" s="2" t="inlineStr">
        <is>
          <t>SOLAR_MULTIPLE</t>
        </is>
      </c>
      <c r="C207" s="2" t="inlineStr">
        <is>
          <t>太阳能倍数</t>
        </is>
      </c>
      <c r="D207" s="2" t="inlineStr">
        <is>
          <t>无量纲</t>
        </is>
      </c>
      <c r="E207" s="2" t="inlineStr">
        <is>
          <t>待填</t>
        </is>
      </c>
      <c r="F207" s="2" t="inlineStr">
        <is>
          <t>模板，尚无机组数据</t>
        </is>
      </c>
      <c r="G207" s="2" t="inlineStr">
        <is>
          <t>原值保留；空设备类型未配置容量</t>
        </is>
      </c>
      <c r="H207" s="2" t="n"/>
      <c r="I207" s="2" t="n"/>
    </row>
    <row r="208" ht="66" customHeight="1">
      <c r="A208" s="2" t="inlineStr">
        <is>
          <t>光热</t>
        </is>
      </c>
      <c r="B208" s="2" t="inlineStr">
        <is>
          <t>DNI_REFERENCE</t>
        </is>
      </c>
      <c r="C208" s="2" t="inlineStr">
        <is>
          <t>参考直接辐照度</t>
        </is>
      </c>
      <c r="D208" s="2" t="inlineStr">
        <is>
          <t>W/m²</t>
        </is>
      </c>
      <c r="E208" s="2" t="inlineStr">
        <is>
          <t>待填</t>
        </is>
      </c>
      <c r="F208" s="2" t="inlineStr">
        <is>
          <t>模板，尚无机组数据</t>
        </is>
      </c>
      <c r="G208" s="2" t="inlineStr">
        <is>
          <t>原值保留；空设备类型未配置容量</t>
        </is>
      </c>
      <c r="H208" s="2" t="n"/>
      <c r="I208" s="2" t="n"/>
    </row>
    <row r="209" ht="66" customHeight="1">
      <c r="A209" s="2" t="inlineStr">
        <is>
          <t>光热</t>
        </is>
      </c>
      <c r="B209" s="2" t="inlineStr">
        <is>
          <t>THERMAL_EFFICIENCY</t>
        </is>
      </c>
      <c r="C209" s="2" t="inlineStr">
        <is>
          <t>热电转换效率</t>
        </is>
      </c>
      <c r="D209" s="2" t="inlineStr">
        <is>
          <t>0~1</t>
        </is>
      </c>
      <c r="E209" s="2" t="inlineStr">
        <is>
          <t>待填</t>
        </is>
      </c>
      <c r="F209" s="2" t="inlineStr">
        <is>
          <t>模板，尚无机组数据</t>
        </is>
      </c>
      <c r="G209" s="2" t="inlineStr">
        <is>
          <t>原值保留；空设备类型未配置容量</t>
        </is>
      </c>
      <c r="H209" s="2" t="n"/>
      <c r="I209" s="2" t="n"/>
    </row>
    <row r="210" ht="66" customHeight="1">
      <c r="A210" s="2" t="inlineStr">
        <is>
          <t>光热</t>
        </is>
      </c>
      <c r="B210" s="2" t="inlineStr">
        <is>
          <t>HEAT_ETA_IN</t>
        </is>
      </c>
      <c r="C210" s="2" t="inlineStr">
        <is>
          <t>储热输入效率</t>
        </is>
      </c>
      <c r="D210" s="2" t="inlineStr">
        <is>
          <t>0~1</t>
        </is>
      </c>
      <c r="E210" s="2" t="inlineStr">
        <is>
          <t>待填</t>
        </is>
      </c>
      <c r="F210" s="2" t="inlineStr">
        <is>
          <t>模板，尚无机组数据</t>
        </is>
      </c>
      <c r="G210" s="2" t="inlineStr">
        <is>
          <t>原值保留；空设备类型未配置容量</t>
        </is>
      </c>
      <c r="H210" s="2" t="n"/>
      <c r="I210" s="2" t="n"/>
    </row>
    <row r="211" ht="66" customHeight="1">
      <c r="A211" s="2" t="inlineStr">
        <is>
          <t>光热</t>
        </is>
      </c>
      <c r="B211" s="2" t="inlineStr">
        <is>
          <t>HEAT_ETA_OUT</t>
        </is>
      </c>
      <c r="C211" s="2" t="inlineStr">
        <is>
          <t>储热输出效率</t>
        </is>
      </c>
      <c r="D211" s="2" t="inlineStr">
        <is>
          <t>0~1</t>
        </is>
      </c>
      <c r="E211" s="2" t="inlineStr">
        <is>
          <t>待填</t>
        </is>
      </c>
      <c r="F211" s="2" t="inlineStr">
        <is>
          <t>模板，尚无机组数据</t>
        </is>
      </c>
      <c r="G211" s="2" t="inlineStr">
        <is>
          <t>原值保留；空设备类型未配置容量</t>
        </is>
      </c>
      <c r="H211" s="2" t="n"/>
      <c r="I211" s="2" t="n"/>
    </row>
    <row r="212" ht="66" customHeight="1">
      <c r="A212" s="2" t="inlineStr">
        <is>
          <t>光热</t>
        </is>
      </c>
      <c r="B212" s="2" t="inlineStr">
        <is>
          <t>HEAT_LOSS</t>
        </is>
      </c>
      <c r="C212" s="2" t="inlineStr">
        <is>
          <t>储热损失率</t>
        </is>
      </c>
      <c r="D212" s="2" t="inlineStr">
        <is>
          <t>1/h</t>
        </is>
      </c>
      <c r="E212" s="2" t="inlineStr">
        <is>
          <t>待填</t>
        </is>
      </c>
      <c r="F212" s="2" t="inlineStr">
        <is>
          <t>模板，尚无机组数据</t>
        </is>
      </c>
      <c r="G212" s="2" t="inlineStr">
        <is>
          <t>原值保留；空设备类型未配置容量</t>
        </is>
      </c>
      <c r="H212" s="2" t="n"/>
      <c r="I212" s="2" t="n"/>
    </row>
    <row r="213" ht="66" customHeight="1">
      <c r="A213" s="2" t="inlineStr">
        <is>
          <t>光热</t>
        </is>
      </c>
      <c r="B213" s="2" t="inlineStr">
        <is>
          <t>HEAT_CH_MAX</t>
        </is>
      </c>
      <c r="C213" s="2" t="inlineStr">
        <is>
          <t>最大充热功率</t>
        </is>
      </c>
      <c r="D213" s="2" t="inlineStr">
        <is>
          <t>MWt</t>
        </is>
      </c>
      <c r="E213" s="2" t="inlineStr">
        <is>
          <t>待填</t>
        </is>
      </c>
      <c r="F213" s="2" t="inlineStr">
        <is>
          <t>模板，尚无机组数据</t>
        </is>
      </c>
      <c r="G213" s="2" t="inlineStr">
        <is>
          <t>原值保留；空设备类型未配置容量</t>
        </is>
      </c>
      <c r="H213" s="2" t="n"/>
      <c r="I213" s="2" t="n"/>
    </row>
    <row r="214" ht="66" customHeight="1">
      <c r="A214" s="2" t="inlineStr">
        <is>
          <t>光热</t>
        </is>
      </c>
      <c r="B214" s="2" t="inlineStr">
        <is>
          <t>HEAT_DIS_MAX</t>
        </is>
      </c>
      <c r="C214" s="2" t="inlineStr">
        <is>
          <t>最大放热功率</t>
        </is>
      </c>
      <c r="D214" s="2" t="inlineStr">
        <is>
          <t>MWt</t>
        </is>
      </c>
      <c r="E214" s="2" t="inlineStr">
        <is>
          <t>待填</t>
        </is>
      </c>
      <c r="F214" s="2" t="inlineStr">
        <is>
          <t>模板，尚无机组数据</t>
        </is>
      </c>
      <c r="G214" s="2" t="inlineStr">
        <is>
          <t>原值保留；空设备类型未配置容量</t>
        </is>
      </c>
      <c r="H214" s="2" t="n"/>
      <c r="I214" s="2" t="n"/>
    </row>
    <row r="215" ht="66" customHeight="1">
      <c r="A215" s="2" t="inlineStr">
        <is>
          <t>光热</t>
        </is>
      </c>
      <c r="B215" s="2" t="inlineStr">
        <is>
          <t>HEAT_MIN</t>
        </is>
      </c>
      <c r="C215" s="2" t="inlineStr">
        <is>
          <t>最小储热量</t>
        </is>
      </c>
      <c r="D215" s="2" t="inlineStr">
        <is>
          <t>MWht</t>
        </is>
      </c>
      <c r="E215" s="2" t="inlineStr">
        <is>
          <t>待填</t>
        </is>
      </c>
      <c r="F215" s="2" t="inlineStr">
        <is>
          <t>模板，尚无机组数据</t>
        </is>
      </c>
      <c r="G215" s="2" t="inlineStr">
        <is>
          <t>原值保留；空设备类型未配置容量</t>
        </is>
      </c>
      <c r="H215" s="2" t="n"/>
      <c r="I215" s="2" t="n"/>
    </row>
    <row r="216" ht="66" customHeight="1">
      <c r="A216" s="2" t="inlineStr">
        <is>
          <t>光热</t>
        </is>
      </c>
      <c r="B216" s="2" t="inlineStr">
        <is>
          <t>HEAT_MAX</t>
        </is>
      </c>
      <c r="C216" s="2" t="inlineStr">
        <is>
          <t>最大储热量</t>
        </is>
      </c>
      <c r="D216" s="2" t="inlineStr">
        <is>
          <t>MWht</t>
        </is>
      </c>
      <c r="E216" s="2" t="inlineStr">
        <is>
          <t>待填</t>
        </is>
      </c>
      <c r="F216" s="2" t="inlineStr">
        <is>
          <t>模板，尚无机组数据</t>
        </is>
      </c>
      <c r="G216" s="2" t="inlineStr">
        <is>
          <t>原值保留；空设备类型未配置容量</t>
        </is>
      </c>
      <c r="H216" s="2" t="n"/>
      <c r="I216" s="2" t="n"/>
    </row>
    <row r="217" ht="66" customHeight="1">
      <c r="A217" s="2" t="inlineStr">
        <is>
          <t>光热</t>
        </is>
      </c>
      <c r="B217" s="2" t="inlineStr">
        <is>
          <t>HEAT_INITIAL</t>
        </is>
      </c>
      <c r="C217" s="2" t="inlineStr">
        <is>
          <t>初始储热量</t>
        </is>
      </c>
      <c r="D217" s="2" t="inlineStr">
        <is>
          <t>MWht</t>
        </is>
      </c>
      <c r="E217" s="2" t="inlineStr">
        <is>
          <t>待填</t>
        </is>
      </c>
      <c r="F217" s="2" t="inlineStr">
        <is>
          <t>模板，尚无机组数据</t>
        </is>
      </c>
      <c r="G217" s="2" t="inlineStr">
        <is>
          <t>原值保留；空设备类型未配置容量</t>
        </is>
      </c>
      <c r="H217" s="2" t="n"/>
      <c r="I217" s="2" t="n"/>
    </row>
    <row r="218" ht="66" customHeight="1">
      <c r="A218" s="2" t="inlineStr">
        <is>
          <t>光热</t>
        </is>
      </c>
      <c r="B218" s="2" t="inlineStr">
        <is>
          <t>RAMP_LIMIT_UP</t>
        </is>
      </c>
      <c r="C218" s="2" t="inlineStr">
        <is>
          <t>向上爬坡</t>
        </is>
      </c>
      <c r="D218" s="2" t="inlineStr">
        <is>
          <t>MW/时段</t>
        </is>
      </c>
      <c r="E218" s="2" t="inlineStr">
        <is>
          <t>需确认原始时段长度</t>
        </is>
      </c>
      <c r="F218" s="2" t="inlineStr">
        <is>
          <t>模板，尚无机组数据</t>
        </is>
      </c>
      <c r="G218" s="2" t="inlineStr">
        <is>
          <t>原值保留；空设备类型未配置容量</t>
        </is>
      </c>
      <c r="H218" s="2" t="n"/>
      <c r="I218" s="2" t="n"/>
    </row>
    <row r="219" ht="66" customHeight="1">
      <c r="A219" s="2" t="inlineStr">
        <is>
          <t>光热</t>
        </is>
      </c>
      <c r="B219" s="2" t="inlineStr">
        <is>
          <t>RAMP_LIMIT_DOWN</t>
        </is>
      </c>
      <c r="C219" s="2" t="inlineStr">
        <is>
          <t>向下爬坡</t>
        </is>
      </c>
      <c r="D219" s="2" t="inlineStr">
        <is>
          <t>MW/时段</t>
        </is>
      </c>
      <c r="E219" s="2" t="inlineStr">
        <is>
          <t>需确认原始时段长度</t>
        </is>
      </c>
      <c r="F219" s="2" t="inlineStr">
        <is>
          <t>模板，尚无机组数据</t>
        </is>
      </c>
      <c r="G219" s="2" t="inlineStr">
        <is>
          <t>原值保留；空设备类型未配置容量</t>
        </is>
      </c>
      <c r="H219" s="2" t="n"/>
      <c r="I219" s="2" t="n"/>
    </row>
    <row r="220" ht="66" customHeight="1">
      <c r="A220" s="2" t="inlineStr">
        <is>
          <t>光热</t>
        </is>
      </c>
      <c r="B220" s="2" t="inlineStr">
        <is>
          <t>START_RAMP</t>
        </is>
      </c>
      <c r="C220" s="2" t="inlineStr">
        <is>
          <t>启动允许功率变化</t>
        </is>
      </c>
      <c r="D220" s="2" t="inlineStr">
        <is>
          <t>MW/时段</t>
        </is>
      </c>
      <c r="E220" s="2" t="inlineStr">
        <is>
          <t>待填</t>
        </is>
      </c>
      <c r="F220" s="2" t="inlineStr">
        <is>
          <t>模板，尚无机组数据</t>
        </is>
      </c>
      <c r="G220" s="2" t="inlineStr">
        <is>
          <t>原值保留；空设备类型未配置容量</t>
        </is>
      </c>
      <c r="H220" s="2" t="n"/>
      <c r="I220" s="2" t="n"/>
    </row>
    <row r="221" ht="66" customHeight="1">
      <c r="A221" s="2" t="inlineStr">
        <is>
          <t>光热</t>
        </is>
      </c>
      <c r="B221" s="2" t="inlineStr">
        <is>
          <t>STOP_RAMP</t>
        </is>
      </c>
      <c r="C221" s="2" t="inlineStr">
        <is>
          <t>停机允许功率变化</t>
        </is>
      </c>
      <c r="D221" s="2" t="inlineStr">
        <is>
          <t>MW/时段</t>
        </is>
      </c>
      <c r="E221" s="2" t="inlineStr">
        <is>
          <t>待填</t>
        </is>
      </c>
      <c r="F221" s="2" t="inlineStr">
        <is>
          <t>模板，尚无机组数据</t>
        </is>
      </c>
      <c r="G221" s="2" t="inlineStr">
        <is>
          <t>原值保留；空设备类型未配置容量</t>
        </is>
      </c>
      <c r="H221" s="2" t="n"/>
      <c r="I221" s="2" t="n"/>
    </row>
    <row r="222" ht="66" customHeight="1">
      <c r="A222" s="2" t="inlineStr">
        <is>
          <t>光热</t>
        </is>
      </c>
      <c r="B222" s="2" t="inlineStr">
        <is>
          <t>GEN_COST</t>
        </is>
      </c>
      <c r="C222" s="2" t="inlineStr">
        <is>
          <t>单位发电成本</t>
        </is>
      </c>
      <c r="D222" s="2" t="inlineStr">
        <is>
          <t>原货币单位/MWh</t>
        </is>
      </c>
      <c r="E222" s="2" t="inlineStr">
        <is>
          <t>待填，不擅自转换旧成本系数</t>
        </is>
      </c>
      <c r="F222" s="2" t="inlineStr">
        <is>
          <t>模板，尚无机组数据</t>
        </is>
      </c>
      <c r="G222" s="2" t="inlineStr">
        <is>
          <t>原值保留；空设备类型未配置容量</t>
        </is>
      </c>
      <c r="H222" s="2" t="n"/>
      <c r="I222" s="2" t="n"/>
    </row>
    <row r="223" ht="66" customHeight="1">
      <c r="A223" s="2" t="inlineStr">
        <is>
          <t>光热</t>
        </is>
      </c>
      <c r="B223" s="2" t="inlineStr">
        <is>
          <t>FOM_COST_PERIOD</t>
        </is>
      </c>
      <c r="C223" s="2" t="inlineStr">
        <is>
          <t>本周期固定运维系数</t>
        </is>
      </c>
      <c r="D223" s="2" t="inlineStr">
        <is>
          <t>原货币单位/MW</t>
        </is>
      </c>
      <c r="E223" s="2" t="inlineStr">
        <is>
          <t>待填；修改周期时应同步调整</t>
        </is>
      </c>
      <c r="F223" s="2" t="inlineStr">
        <is>
          <t>模板，尚无机组数据</t>
        </is>
      </c>
      <c r="G223" s="2" t="inlineStr">
        <is>
          <t>原值保留；空设备类型未配置容量</t>
        </is>
      </c>
      <c r="H223" s="2" t="n"/>
      <c r="I223" s="2" t="n"/>
    </row>
    <row r="224" ht="66" customHeight="1">
      <c r="A224" s="2" t="inlineStr">
        <is>
          <t>新能源友好电站</t>
        </is>
      </c>
      <c r="B224" s="2" t="inlineStr">
        <is>
          <t>UnitKey</t>
        </is>
      </c>
      <c r="C224" s="2" t="inlineStr">
        <is>
          <t>机组唯一编号</t>
        </is>
      </c>
      <c r="D224" s="2" t="inlineStr">
        <is>
          <t>文本</t>
        </is>
      </c>
      <c r="E224" s="2" t="inlineStr">
        <is>
          <t>创建后固定，不随排序改变；新增机组用新编号</t>
        </is>
      </c>
      <c r="F224" s="2" t="inlineStr">
        <is>
          <t>模板，尚无机组数据</t>
        </is>
      </c>
      <c r="G224" s="2" t="inlineStr">
        <is>
          <t>原值保留；空设备类型未配置容量</t>
        </is>
      </c>
      <c r="H224" s="2" t="n"/>
      <c r="I224" s="2" t="n"/>
    </row>
    <row r="225" ht="66" customHeight="1">
      <c r="A225" s="2" t="inlineStr">
        <is>
          <t>新能源友好电站</t>
        </is>
      </c>
      <c r="B225" s="2" t="inlineStr">
        <is>
          <t>NAME</t>
        </is>
      </c>
      <c r="C225" s="2" t="inlineStr">
        <is>
          <t>机组名称</t>
        </is>
      </c>
      <c r="D225" s="2" t="inlineStr">
        <is>
          <t>文本</t>
        </is>
      </c>
      <c r="E225" s="2" t="inlineStr">
        <is>
          <t>保留源表</t>
        </is>
      </c>
      <c r="F225" s="2" t="inlineStr">
        <is>
          <t>模板，尚无机组数据</t>
        </is>
      </c>
      <c r="G225" s="2" t="inlineStr">
        <is>
          <t>原值保留；空设备类型未配置容量</t>
        </is>
      </c>
      <c r="H225" s="2" t="n"/>
      <c r="I225" s="2" t="n"/>
    </row>
    <row r="226" ht="66" customHeight="1">
      <c r="A226" s="2" t="inlineStr">
        <is>
          <t>新能源友好电站</t>
        </is>
      </c>
      <c r="B226" s="2" t="inlineStr">
        <is>
          <t>AreaID</t>
        </is>
      </c>
      <c r="C226" s="2" t="inlineStr">
        <is>
          <t>分区编号</t>
        </is>
      </c>
      <c r="D226" s="2" t="inlineStr">
        <is>
          <t>编号</t>
        </is>
      </c>
      <c r="E226" s="2" t="inlineStr">
        <is>
          <t>与分区表对应</t>
        </is>
      </c>
      <c r="F226" s="2" t="inlineStr">
        <is>
          <t>模板，尚无机组数据</t>
        </is>
      </c>
      <c r="G226" s="2" t="inlineStr">
        <is>
          <t>原值保留；空设备类型未配置容量</t>
        </is>
      </c>
      <c r="H226" s="2" t="n"/>
      <c r="I226" s="2" t="n"/>
    </row>
    <row r="227" ht="66" customHeight="1">
      <c r="A227" s="2" t="inlineStr">
        <is>
          <t>新能源友好电站</t>
        </is>
      </c>
      <c r="B227" s="2" t="inlineStr">
        <is>
          <t>WIND_CAP</t>
        </is>
      </c>
      <c r="C227" s="2" t="inlineStr">
        <is>
          <t>站内风电容量</t>
        </is>
      </c>
      <c r="D227" s="2" t="inlineStr">
        <is>
          <t>MW</t>
        </is>
      </c>
      <c r="E227" s="2" t="inlineStr">
        <is>
          <t>不得与独立风电重复统计</t>
        </is>
      </c>
      <c r="F227" s="2" t="inlineStr">
        <is>
          <t>模板，尚无机组数据</t>
        </is>
      </c>
      <c r="G227" s="2" t="inlineStr">
        <is>
          <t>原值保留；空设备类型未配置容量</t>
        </is>
      </c>
      <c r="H227" s="2" t="n"/>
      <c r="I227" s="2" t="n"/>
    </row>
    <row r="228" ht="66" customHeight="1">
      <c r="A228" s="2" t="inlineStr">
        <is>
          <t>新能源友好电站</t>
        </is>
      </c>
      <c r="B228" s="2" t="inlineStr">
        <is>
          <t>PV_CAP</t>
        </is>
      </c>
      <c r="C228" s="2" t="inlineStr">
        <is>
          <t>站内光伏容量</t>
        </is>
      </c>
      <c r="D228" s="2" t="inlineStr">
        <is>
          <t>MW</t>
        </is>
      </c>
      <c r="E228" s="2" t="inlineStr">
        <is>
          <t>不得与独立光伏重复统计</t>
        </is>
      </c>
      <c r="F228" s="2" t="inlineStr">
        <is>
          <t>模板，尚无机组数据</t>
        </is>
      </c>
      <c r="G228" s="2" t="inlineStr">
        <is>
          <t>原值保留；空设备类型未配置容量</t>
        </is>
      </c>
      <c r="H228" s="2" t="n"/>
      <c r="I228" s="2" t="n"/>
    </row>
    <row r="229" ht="66" customHeight="1">
      <c r="A229" s="2" t="inlineStr">
        <is>
          <t>新能源友好电站</t>
        </is>
      </c>
      <c r="B229" s="2" t="inlineStr">
        <is>
          <t>ES_POWER</t>
        </is>
      </c>
      <c r="C229" s="2" t="inlineStr">
        <is>
          <t>站内储能功率</t>
        </is>
      </c>
      <c r="D229" s="2" t="inlineStr">
        <is>
          <t>MW</t>
        </is>
      </c>
      <c r="E229" s="2" t="inlineStr">
        <is>
          <t>待填</t>
        </is>
      </c>
      <c r="F229" s="2" t="inlineStr">
        <is>
          <t>模板，尚无机组数据</t>
        </is>
      </c>
      <c r="G229" s="2" t="inlineStr">
        <is>
          <t>原值保留；空设备类型未配置容量</t>
        </is>
      </c>
      <c r="H229" s="2" t="n"/>
      <c r="I229" s="2" t="n"/>
    </row>
    <row r="230" ht="66" customHeight="1">
      <c r="A230" s="2" t="inlineStr">
        <is>
          <t>新能源友好电站</t>
        </is>
      </c>
      <c r="B230" s="2" t="inlineStr">
        <is>
          <t>ENERGY_MWH</t>
        </is>
      </c>
      <c r="C230" s="2" t="inlineStr">
        <is>
          <t>最大等效储能容量</t>
        </is>
      </c>
      <c r="D230" s="2" t="inlineStr">
        <is>
          <t>MWh</t>
        </is>
      </c>
      <c r="E230" s="2" t="inlineStr">
        <is>
          <t>待填；共用水库不得重复计容量</t>
        </is>
      </c>
      <c r="F230" s="2" t="inlineStr">
        <is>
          <t>模板，尚无机组数据</t>
        </is>
      </c>
      <c r="G230" s="2" t="inlineStr">
        <is>
          <t>原值保留；空设备类型未配置容量</t>
        </is>
      </c>
      <c r="H230" s="2" t="n"/>
      <c r="I230" s="2" t="n"/>
    </row>
    <row r="231" ht="66" customHeight="1">
      <c r="A231" s="2" t="inlineStr">
        <is>
          <t>新能源友好电站</t>
        </is>
      </c>
      <c r="B231" s="2" t="inlineStr">
        <is>
          <t>SOC_MIN</t>
        </is>
      </c>
      <c r="C231" s="2" t="inlineStr">
        <is>
          <t>最小SOC</t>
        </is>
      </c>
      <c r="D231" s="2" t="inlineStr">
        <is>
          <t>0~1</t>
        </is>
      </c>
      <c r="E231" s="2" t="inlineStr">
        <is>
          <t>待填</t>
        </is>
      </c>
      <c r="F231" s="2" t="inlineStr">
        <is>
          <t>模板，尚无机组数据</t>
        </is>
      </c>
      <c r="G231" s="2" t="inlineStr">
        <is>
          <t>原值保留；空设备类型未配置容量</t>
        </is>
      </c>
      <c r="H231" s="2" t="n"/>
      <c r="I231" s="2" t="n"/>
    </row>
    <row r="232" ht="66" customHeight="1">
      <c r="A232" s="2" t="inlineStr">
        <is>
          <t>新能源友好电站</t>
        </is>
      </c>
      <c r="B232" s="2" t="inlineStr">
        <is>
          <t>SOC_MAX</t>
        </is>
      </c>
      <c r="C232" s="2" t="inlineStr">
        <is>
          <t>最大SOC</t>
        </is>
      </c>
      <c r="D232" s="2" t="inlineStr">
        <is>
          <t>0~1</t>
        </is>
      </c>
      <c r="E232" s="2" t="inlineStr">
        <is>
          <t>待填</t>
        </is>
      </c>
      <c r="F232" s="2" t="inlineStr">
        <is>
          <t>模板，尚无机组数据</t>
        </is>
      </c>
      <c r="G232" s="2" t="inlineStr">
        <is>
          <t>原值保留；空设备类型未配置容量</t>
        </is>
      </c>
      <c r="H232" s="2" t="n"/>
      <c r="I232" s="2" t="n"/>
    </row>
    <row r="233" ht="66" customHeight="1">
      <c r="A233" s="2" t="inlineStr">
        <is>
          <t>新能源友好电站</t>
        </is>
      </c>
      <c r="B233" s="2" t="inlineStr">
        <is>
          <t>SOC_INITIAL</t>
        </is>
      </c>
      <c r="C233" s="2" t="inlineStr">
        <is>
          <t>初始SOC</t>
        </is>
      </c>
      <c r="D233" s="2" t="inlineStr">
        <is>
          <t>0~1</t>
        </is>
      </c>
      <c r="E233" s="2" t="inlineStr">
        <is>
          <t>待填</t>
        </is>
      </c>
      <c r="F233" s="2" t="inlineStr">
        <is>
          <t>模板，尚无机组数据</t>
        </is>
      </c>
      <c r="G233" s="2" t="inlineStr">
        <is>
          <t>原值保留；空设备类型未配置容量</t>
        </is>
      </c>
      <c r="H233" s="2" t="n"/>
      <c r="I233" s="2" t="n"/>
    </row>
    <row r="234" ht="66" customHeight="1">
      <c r="A234" s="2" t="inlineStr">
        <is>
          <t>新能源友好电站</t>
        </is>
      </c>
      <c r="B234" s="2" t="inlineStr">
        <is>
          <t>ETA_CHARGE</t>
        </is>
      </c>
      <c r="C234" s="2" t="inlineStr">
        <is>
          <t>充电效率</t>
        </is>
      </c>
      <c r="D234" s="2" t="inlineStr">
        <is>
          <t>0~1</t>
        </is>
      </c>
      <c r="E234" s="2" t="inlineStr">
        <is>
          <t>待填</t>
        </is>
      </c>
      <c r="F234" s="2" t="inlineStr">
        <is>
          <t>模板，尚无机组数据</t>
        </is>
      </c>
      <c r="G234" s="2" t="inlineStr">
        <is>
          <t>原值保留；空设备类型未配置容量</t>
        </is>
      </c>
      <c r="H234" s="2" t="n"/>
      <c r="I234" s="2" t="n"/>
    </row>
    <row r="235" ht="66" customHeight="1">
      <c r="A235" s="2" t="inlineStr">
        <is>
          <t>新能源友好电站</t>
        </is>
      </c>
      <c r="B235" s="2" t="inlineStr">
        <is>
          <t>ETA_DISCHARGE</t>
        </is>
      </c>
      <c r="C235" s="2" t="inlineStr">
        <is>
          <t>放电效率</t>
        </is>
      </c>
      <c r="D235" s="2" t="inlineStr">
        <is>
          <t>0~1</t>
        </is>
      </c>
      <c r="E235" s="2" t="inlineStr">
        <is>
          <t>待填</t>
        </is>
      </c>
      <c r="F235" s="2" t="inlineStr">
        <is>
          <t>模板，尚无机组数据</t>
        </is>
      </c>
      <c r="G235" s="2" t="inlineStr">
        <is>
          <t>原值保留；空设备类型未配置容量</t>
        </is>
      </c>
      <c r="H235" s="2" t="n"/>
      <c r="I235" s="2" t="n"/>
    </row>
    <row r="236" ht="66" customHeight="1">
      <c r="A236" s="2" t="inlineStr">
        <is>
          <t>新能源友好电站</t>
        </is>
      </c>
      <c r="B236" s="2" t="inlineStr">
        <is>
          <t>FOM_COST_PERIOD</t>
        </is>
      </c>
      <c r="C236" s="2" t="inlineStr">
        <is>
          <t>本周期固定运维系数</t>
        </is>
      </c>
      <c r="D236" s="2" t="inlineStr">
        <is>
          <t>原货币单位/MW</t>
        </is>
      </c>
      <c r="E236" s="2" t="inlineStr">
        <is>
          <t>待填；修改周期时应同步调整</t>
        </is>
      </c>
      <c r="F236" s="2" t="inlineStr">
        <is>
          <t>模板，尚无机组数据</t>
        </is>
      </c>
      <c r="G236" s="2" t="inlineStr">
        <is>
          <t>原值保留；空设备类型未配置容量</t>
        </is>
      </c>
      <c r="H236" s="2" t="n"/>
      <c r="I236" s="2" t="n"/>
    </row>
    <row r="237" ht="66" customHeight="1">
      <c r="A237" s="2" t="inlineStr">
        <is>
          <t>气电</t>
        </is>
      </c>
      <c r="B237" s="2" t="inlineStr">
        <is>
          <t>INIT_HOURS</t>
        </is>
      </c>
      <c r="C237" s="2" t="inlineStr">
        <is>
          <t>初始开停机状态已持续时间</t>
        </is>
      </c>
      <c r="D237" s="2" t="inlineStr">
        <is>
          <t>h</t>
        </is>
      </c>
      <c r="E237" s="2" t="inlineStr">
        <is>
          <t>承接周期前的最小开停机义务，整数小时</t>
        </is>
      </c>
      <c r="F237" s="2" t="inlineStr">
        <is>
          <t>公开资料与算例假设区分见右侧</t>
        </is>
      </c>
      <c r="G237" s="2" t="inlineStr">
        <is>
          <t>算例初态：煤电开机且出力为原最小出力；气电停机且出力0。已持续时间取原最小开/停机时间较大者；非2023实测。改变起点时可重设。</t>
        </is>
      </c>
      <c r="H237" s="2" t="inlineStr">
        <is>
          <t>假设</t>
        </is>
      </c>
      <c r="I237" s="2" t="n"/>
    </row>
    <row r="238" ht="66" customHeight="1">
      <c r="A238" s="2" t="inlineStr">
        <is>
          <t>生物质</t>
        </is>
      </c>
      <c r="B238" s="2" t="inlineStr">
        <is>
          <t>ENERGY_LIMIT_MWH</t>
        </is>
      </c>
      <c r="C238" s="2" t="inlineStr">
        <is>
          <t>本次可用发电量上限</t>
        </is>
      </c>
      <c r="D238" s="2" t="inlineStr">
        <is>
          <t>MWh</t>
        </is>
      </c>
      <c r="E238" s="2" t="inlineStr">
        <is>
          <t>全年填年度上限；短周期或滚动计算填本次可用预算</t>
        </is>
      </c>
      <c r="F238" s="2" t="inlineStr">
        <is>
          <t>公开资料与算例假设区分见右侧</t>
        </is>
      </c>
      <c r="G238" s="2" t="inlineStr">
        <is>
          <t>年预算=CAP×8000h，假设燃料供应上限，不是实际利用小时。原最小出力80%保留；全年8000h额度高于无检修7008h最低需求。</t>
        </is>
      </c>
      <c r="H238" s="2" t="inlineStr">
        <is>
          <t>假设</t>
        </is>
      </c>
      <c r="I238" s="2" t="n"/>
    </row>
    <row r="239" ht="66" customHeight="1">
      <c r="A239" s="2" t="inlineStr">
        <is>
          <t>电化学储能</t>
        </is>
      </c>
      <c r="B239" s="2" t="inlineStr">
        <is>
          <t>FOM_ENERGY_PERIOD</t>
        </is>
      </c>
      <c r="C239" s="2" t="inlineStr">
        <is>
          <t>本周期能量容量运维系数</t>
        </is>
      </c>
      <c r="D239" s="2" t="inlineStr">
        <is>
          <t>万元/MWh·基准期</t>
        </is>
      </c>
      <c r="E239" s="2" t="inlineStr">
        <is>
          <t>输入对应fixedCostReferenceHours小时；MATLAB自动折算到T小时。</t>
        </is>
      </c>
      <c r="F239" s="2" t="inlineStr">
        <is>
          <t>公开资料与算例假设区分见右侧</t>
        </is>
      </c>
      <c r="G239" s="2" t="inlineStr">
        <is>
          <t>造价假设：20万元/MW+110万元/MWh，2h系统折合1.2元/Wh；替换份额0.8；年运维取各投资的2%，填0.4万元/MW和2.2万元/MWh。非镇江项目造价。</t>
        </is>
      </c>
      <c r="H239" s="2" t="inlineStr">
        <is>
          <t>假设</t>
        </is>
      </c>
      <c r="I239" s="2" t="n"/>
    </row>
    <row r="240" ht="66" customHeight="1">
      <c r="A240" s="2" t="inlineStr">
        <is>
          <t>光热</t>
        </is>
      </c>
      <c r="B240" s="2" t="inlineStr">
        <is>
          <t>INIT_STATUS</t>
        </is>
      </c>
      <c r="C240" s="2" t="inlineStr">
        <is>
          <t>周期前运行状态</t>
        </is>
      </c>
      <c r="D240" s="2" t="inlineStr">
        <is>
          <t>0/1</t>
        </is>
      </c>
      <c r="E240" s="2" t="inlineStr">
        <is>
          <t>用于首时段启停与爬坡</t>
        </is>
      </c>
      <c r="F240" s="2" t="inlineStr">
        <is>
          <t>新增待填</t>
        </is>
      </c>
      <c r="G240" s="2" t="inlineStr">
        <is>
          <t>原值保留；空设备类型未配置容量</t>
        </is>
      </c>
      <c r="H240" s="2" t="n"/>
      <c r="I240" s="2" t="n"/>
    </row>
    <row r="241" ht="66" customHeight="1">
      <c r="A241" s="2" t="inlineStr">
        <is>
          <t>光热</t>
        </is>
      </c>
      <c r="B241" s="2" t="inlineStr">
        <is>
          <t>INIT_POWER</t>
        </is>
      </c>
      <c r="C241" s="2" t="inlineStr">
        <is>
          <t>周期前电功率</t>
        </is>
      </c>
      <c r="D241" s="2" t="inlineStr">
        <is>
          <t>MW</t>
        </is>
      </c>
      <c r="E241" s="2" t="inlineStr">
        <is>
          <t>与初始运行状态一致</t>
        </is>
      </c>
      <c r="F241" s="2" t="inlineStr">
        <is>
          <t>新增待填</t>
        </is>
      </c>
      <c r="G241" s="2" t="inlineStr">
        <is>
          <t>原值保留；空设备类型未配置容量</t>
        </is>
      </c>
      <c r="H241" s="2" t="n"/>
      <c r="I241" s="2" t="n"/>
    </row>
    <row r="242" ht="66" customHeight="1">
      <c r="A242" s="2" t="inlineStr">
        <is>
          <t>新能源友好电站</t>
        </is>
      </c>
      <c r="B242" s="2" t="inlineStr">
        <is>
          <t>SELF_DISCHARGE</t>
        </is>
      </c>
      <c r="C242" s="2" t="inlineStr">
        <is>
          <t>储能每小时自放电率</t>
        </is>
      </c>
      <c r="D242" s="2" t="inlineStr">
        <is>
          <t>1/h</t>
        </is>
      </c>
      <c r="E242" s="2" t="inlineStr">
        <is>
          <t>本模型步长为1小时</t>
        </is>
      </c>
      <c r="F242" s="2" t="inlineStr">
        <is>
          <t>新增待填</t>
        </is>
      </c>
      <c r="G242" s="2" t="inlineStr">
        <is>
          <t>原值保留；空设备类型未配置容量</t>
        </is>
      </c>
      <c r="H242" s="2" t="n"/>
      <c r="I242" s="2" t="n"/>
    </row>
    <row r="243" ht="66" customHeight="1">
      <c r="A243" s="2" t="inlineStr">
        <is>
          <t>新能源友好电站</t>
        </is>
      </c>
      <c r="B243" s="2" t="inlineStr">
        <is>
          <t>POWER_COST</t>
        </is>
      </c>
      <c r="C243" s="2" t="inlineStr">
        <is>
          <t>储能单位功率投资成本</t>
        </is>
      </c>
      <c r="D243" s="2" t="inlineStr">
        <is>
          <t>元/MW</t>
        </is>
      </c>
      <c r="E243" s="2" t="inlineStr">
        <is>
          <t>仅用于吞吐老化成本</t>
        </is>
      </c>
      <c r="F243" s="2" t="inlineStr">
        <is>
          <t>新增待填</t>
        </is>
      </c>
      <c r="G243" s="2" t="inlineStr">
        <is>
          <t>原值保留；空设备类型未配置容量</t>
        </is>
      </c>
      <c r="H243" s="2" t="n"/>
      <c r="I243" s="2" t="n"/>
    </row>
    <row r="244" ht="66" customHeight="1">
      <c r="A244" s="2" t="inlineStr">
        <is>
          <t>新能源友好电站</t>
        </is>
      </c>
      <c r="B244" s="2" t="inlineStr">
        <is>
          <t>ENERGY_COST</t>
        </is>
      </c>
      <c r="C244" s="2" t="inlineStr">
        <is>
          <t>储能单位能量投资成本</t>
        </is>
      </c>
      <c r="D244" s="2" t="inlineStr">
        <is>
          <t>元/MWh</t>
        </is>
      </c>
      <c r="E244" s="2" t="inlineStr">
        <is>
          <t>仅用于吞吐老化成本</t>
        </is>
      </c>
      <c r="F244" s="2" t="inlineStr">
        <is>
          <t>新增待填</t>
        </is>
      </c>
      <c r="G244" s="2" t="inlineStr">
        <is>
          <t>原值保留；空设备类型未配置容量</t>
        </is>
      </c>
      <c r="H244" s="2" t="n"/>
      <c r="I244" s="2" t="n"/>
    </row>
    <row r="245" ht="66" customHeight="1">
      <c r="A245" s="2" t="inlineStr">
        <is>
          <t>新能源友好电站</t>
        </is>
      </c>
      <c r="B245" s="2" t="inlineStr">
        <is>
          <t>REPLACE_FACTOR</t>
        </is>
      </c>
      <c r="C245" s="2" t="inlineStr">
        <is>
          <t>更换系数</t>
        </is>
      </c>
      <c r="D245" s="2" t="inlineStr">
        <is>
          <t>无量纲</t>
        </is>
      </c>
      <c r="E245" s="2" t="inlineStr">
        <is>
          <t>吞吐老化成本输入</t>
        </is>
      </c>
      <c r="F245" s="2" t="inlineStr">
        <is>
          <t>新增待填</t>
        </is>
      </c>
      <c r="G245" s="2" t="inlineStr">
        <is>
          <t>原值保留；空设备类型未配置容量</t>
        </is>
      </c>
      <c r="H245" s="2" t="n"/>
      <c r="I245" s="2" t="n"/>
    </row>
    <row r="246" ht="66" customHeight="1">
      <c r="A246" s="2" t="inlineStr">
        <is>
          <t>新能源友好电站</t>
        </is>
      </c>
      <c r="B246" s="2" t="inlineStr">
        <is>
          <t>MAX_CYCLES</t>
        </is>
      </c>
      <c r="C246" s="2" t="inlineStr">
        <is>
          <t>最大等效满循环次数</t>
        </is>
      </c>
      <c r="D246" s="2" t="inlineStr">
        <is>
          <t>次</t>
        </is>
      </c>
      <c r="E246" s="2" t="inlineStr">
        <is>
          <t>须为正数</t>
        </is>
      </c>
      <c r="F246" s="2" t="inlineStr">
        <is>
          <t>新增待填</t>
        </is>
      </c>
      <c r="G246" s="2" t="inlineStr">
        <is>
          <t>原值保留；空设备类型未配置容量</t>
        </is>
      </c>
      <c r="H246" s="2" t="n"/>
      <c r="I246" s="2" t="n"/>
    </row>
    <row r="247" ht="66" customHeight="1">
      <c r="A247" s="2" t="inlineStr">
        <is>
          <t>新能源友好电站</t>
        </is>
      </c>
      <c r="B247" s="2" t="inlineStr">
        <is>
          <t>FOM_ENERGY_PERIOD</t>
        </is>
      </c>
      <c r="C247" s="2" t="inlineStr">
        <is>
          <t>本周期储能能量运维</t>
        </is>
      </c>
      <c r="D247" s="2" t="inlineStr">
        <is>
          <t>原货币单位/MWh</t>
        </is>
      </c>
      <c r="E247" s="2" t="inlineStr">
        <is>
          <t>原FOM_COST_PERIOD为储能功率运维</t>
        </is>
      </c>
      <c r="F247" s="2" t="inlineStr">
        <is>
          <t>新增待填</t>
        </is>
      </c>
      <c r="G247" s="2" t="inlineStr">
        <is>
          <t>原值保留；空设备类型未配置容量</t>
        </is>
      </c>
      <c r="H247" s="2" t="n"/>
      <c r="I247" s="2" t="n"/>
    </row>
    <row r="248" ht="66" customHeight="1">
      <c r="A248" s="2" t="inlineStr">
        <is>
          <t>新能源友好电站</t>
        </is>
      </c>
      <c r="B248" s="2" t="inlineStr">
        <is>
          <t>WIND_FOM_PERIOD</t>
        </is>
      </c>
      <c r="C248" s="2" t="inlineStr">
        <is>
          <t>本周期站内风电运维</t>
        </is>
      </c>
      <c r="D248" s="2" t="inlineStr">
        <is>
          <t>原货币单位/MW</t>
        </is>
      </c>
      <c r="E248" s="2" t="inlineStr">
        <is>
          <t>站内风电与独立风电分开统计</t>
        </is>
      </c>
      <c r="F248" s="2" t="inlineStr">
        <is>
          <t>新增待填</t>
        </is>
      </c>
      <c r="G248" s="2" t="inlineStr">
        <is>
          <t>原值保留；空设备类型未配置容量</t>
        </is>
      </c>
      <c r="H248" s="2" t="n"/>
      <c r="I248" s="2" t="n"/>
    </row>
    <row r="249" ht="66" customHeight="1">
      <c r="A249" s="2" t="inlineStr">
        <is>
          <t>新能源友好电站</t>
        </is>
      </c>
      <c r="B249" s="2" t="inlineStr">
        <is>
          <t>PV_FOM_PERIOD</t>
        </is>
      </c>
      <c r="C249" s="2" t="inlineStr">
        <is>
          <t>本周期站内光伏运维</t>
        </is>
      </c>
      <c r="D249" s="2" t="inlineStr">
        <is>
          <t>原货币单位/MW</t>
        </is>
      </c>
      <c r="E249" s="2" t="inlineStr">
        <is>
          <t>站内光伏与独立光伏分开统计</t>
        </is>
      </c>
      <c r="F249" s="2" t="inlineStr">
        <is>
          <t>新增待填</t>
        </is>
      </c>
      <c r="G249" s="2" t="inlineStr">
        <is>
          <t>原值保留；空设备类型未配置容量</t>
        </is>
      </c>
      <c r="H249" s="2" t="n"/>
      <c r="I249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D4" sqref="D4"/>
    </sheetView>
  </sheetViews>
  <sheetFormatPr baseColWidth="8" defaultColWidth="9" defaultRowHeight="14.25"/>
  <cols>
    <col width="24" customWidth="1" min="1" max="1"/>
    <col width="70" customWidth="1" min="2" max="2"/>
  </cols>
  <sheetData>
    <row r="1" ht="46" customHeight="1">
      <c r="A1" s="1" t="inlineStr">
        <is>
          <t>事项</t>
        </is>
      </c>
      <c r="B1" s="1" t="inlineStr">
        <is>
          <t>说明</t>
        </is>
      </c>
    </row>
    <row r="2" ht="76" customHeight="1">
      <c r="A2" s="2" t="inlineStr">
        <is>
          <t>用途</t>
        </is>
      </c>
      <c r="B2" s="2" t="inlineStr">
        <is>
          <t>机组明细与技术、成本参数集中于本表；原分类表保持不变。</t>
        </is>
      </c>
    </row>
    <row r="3" ht="76" customHeight="1">
      <c r="A3" s="2" t="inlineStr">
        <is>
          <t>来源</t>
        </is>
      </c>
      <c r="B3" s="2" t="inlineStr">
        <is>
          <t>原始分区机组信息表_分类.xlsx；新增字段依据全部模型汇总-0916最新版.pdf。</t>
        </is>
      </c>
    </row>
    <row r="4" ht="76" customHeight="1">
      <c r="A4" s="2" t="inlineStr">
        <is>
          <t>颜色</t>
        </is>
      </c>
      <c r="B4" s="2" t="inlineStr">
        <is>
          <t>深蓝表头；浅黄色为新增待填参数。空白不是0。</t>
        </is>
      </c>
    </row>
    <row r="5" ht="76" customHeight="1">
      <c r="A5" s="2" t="inlineStr">
        <is>
          <t>关联编号</t>
        </is>
      </c>
      <c r="B5" s="2" t="inlineStr">
        <is>
          <t>UnitKey为固定机组键，检修按此键关联；排序时不修改编号。</t>
        </is>
      </c>
    </row>
    <row r="6" ht="76" customHeight="1">
      <c r="A6" s="2" t="inlineStr">
        <is>
          <t>检修年份</t>
        </is>
      </c>
      <c r="B6" s="2" t="inlineStr">
        <is>
          <t>2023，与现有运行数据一致；只安排10台机组示例检修，不是实际计划。</t>
        </is>
      </c>
    </row>
    <row r="7" ht="76" customHeight="1">
      <c r="A7" s="2" t="inlineStr">
        <is>
          <t>检修区间</t>
        </is>
      </c>
      <c r="B7" s="2" t="inlineStr">
        <is>
          <t>StartTime包含、EndTime不包含；日期为Excel真实日期，Enabled=1参与。</t>
        </is>
      </c>
    </row>
    <row r="8" ht="76" customHeight="1">
      <c r="A8" s="2" t="inlineStr">
        <is>
          <t>日历</t>
        </is>
      </c>
      <c r="B8" s="2" t="inlineStr">
        <is>
          <t>365天按分区统计当天发生检修的台数；支持检修计划前1000条记录。</t>
        </is>
      </c>
    </row>
    <row r="9" ht="76" customHeight="1">
      <c r="A9" s="2" t="inlineStr">
        <is>
          <t>尚缺设备</t>
        </is>
      </c>
      <c r="B9" s="2" t="inlineStr">
        <is>
          <t>空表表示本次没有该类设备；填写机组和参数后自动纳入模型。</t>
        </is>
      </c>
    </row>
    <row r="10" ht="76" customHeight="1">
      <c r="A10" s="2" t="inlineStr">
        <is>
          <t>货币口径</t>
        </is>
      </c>
      <c r="B10" s="2" t="inlineStr">
        <is>
          <t>成本原值保留；需在系统参数表填写costScaleToYuan。</t>
        </is>
      </c>
    </row>
    <row r="11" ht="76" customHeight="1">
      <c r="A11" s="2" t="inlineStr">
        <is>
          <t>固定运维</t>
        </is>
      </c>
      <c r="B11" s="2" t="inlineStr">
        <is>
          <t>FOM输入对应fixedCostReferenceHours=8760小时，MATLAB自动乘T/8760及货币倍率10000。</t>
        </is>
      </c>
    </row>
    <row r="12" ht="76" customHeight="1">
      <c r="A12" s="2" t="inlineStr">
        <is>
          <t>超长原ID</t>
        </is>
      </c>
      <c r="B12" s="2" t="inlineStr">
        <is>
          <t>原始数字精度不可恢复，以UnitKey为关联键。</t>
        </is>
      </c>
    </row>
    <row r="13" ht="76" customHeight="1">
      <c r="A13" s="2" t="inlineStr">
        <is>
          <t>本次补数</t>
        </is>
      </c>
      <c r="B13" s="2" t="inlineStr">
        <is>
          <t>已补现有设备参数；新增镇江101MW/202MWh储能及45MW水电等值。来源和假设详见字段说明右侧。</t>
        </is>
      </c>
    </row>
    <row r="14" ht="76" customHeight="1">
      <c r="A14" s="2" t="inlineStr">
        <is>
          <t>数据性质</t>
        </is>
      </c>
      <c r="B14" s="2" t="inlineStr">
        <is>
          <t>2023原风光负荷曲线+混合年份参数的等值算例，非江苏2023全口径复现。原机组容量、名称、分区保留。</t>
        </is>
      </c>
    </row>
    <row r="15" ht="76" customHeight="1">
      <c r="A15" s="2" t="inlineStr">
        <is>
          <t>未配置设备</t>
        </is>
      </c>
      <c r="B15" s="2" t="inlineStr">
        <is>
          <t>光热、友好电站缺可核实资产及独立曲线，本轮不虚构容量；模型保留，空表仅表示本算例未配置。</t>
        </is>
      </c>
    </row>
    <row r="16" ht="76" customHeight="1">
      <c r="A16" s="2" t="inlineStr">
        <is>
          <t>黄色单元格</t>
        </is>
      </c>
      <c r="B16" s="2" t="inlineStr">
        <is>
          <t>可编辑输入；已填值的含义和依据见字段说明。原有待填提示以本次说明为准。</t>
        </is>
      </c>
    </row>
    <row r="17" ht="76" customHeight="1">
      <c r="A17" s="2" t="inlineStr">
        <is>
          <t>更新参数</t>
        </is>
      </c>
      <c r="B17" s="2" t="inlineStr">
        <is>
          <t>时序、节点按假设生成直接数值；改装机、效率、负荷曲线后须同步修改对应时序、节点。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2026-09-17T13:00:00Z</dcterms:created>
  <dcterms:modified xsi:type="dcterms:W3CDTF">2026-09-24T00:41:12Z</dcterms:modified>
  <cp:lastModifiedBy>WPS_1663772018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A0BE7C18F3D74A639B12F871268DE8E5_12</vt:lpwstr>
  </property>
  <property name="KSOProductBuildVer" fmtid="{D5CDD505-2E9C-101B-9397-08002B2CF9AE}" pid="3">
    <vt:lpwstr>2052-12.1.0.15712</vt:lpwstr>
  </property>
</Properties>
</file>